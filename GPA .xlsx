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arth\Downloads\"/>
    </mc:Choice>
  </mc:AlternateContent>
  <xr:revisionPtr revIDLastSave="0" documentId="8_{591D4538-525C-4471-B8CC-A376A645937D}" xr6:coauthVersionLast="47" xr6:coauthVersionMax="47" xr10:uidLastSave="{00000000-0000-0000-0000-000000000000}"/>
  <bookViews>
    <workbookView xWindow="-108" yWindow="-108" windowWidth="23256" windowHeight="12456" tabRatio="624" xr2:uid="{00000000-000D-0000-FFFF-FFFF00000000}"/>
  </bookViews>
  <sheets>
    <sheet name="ปี1 เทอม1" sheetId="1" r:id="rId1"/>
    <sheet name="Key เทอม1" sheetId="3" r:id="rId2"/>
    <sheet name="ปี1 เทอม2" sheetId="2" r:id="rId3"/>
  </sheets>
  <definedNames>
    <definedName name="Grade">'ปี1 เทอม2'!$B$4:$C$14</definedName>
    <definedName name="Subject">'Key เทอม1'!$B$4:$C$10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C53" i="1"/>
  <c r="C51" i="1"/>
  <c r="C52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X36" i="1"/>
  <c r="Y36" i="1"/>
  <c r="Z36" i="1"/>
  <c r="AB36" i="1"/>
  <c r="AC36" i="1"/>
  <c r="AD36" i="1" s="1"/>
  <c r="AL36" i="1" s="1"/>
  <c r="AF36" i="1"/>
  <c r="AG36" i="1"/>
  <c r="AH36" i="1" s="1"/>
  <c r="AI36" i="1"/>
  <c r="AJ36" i="1"/>
  <c r="AK36" i="1"/>
  <c r="X37" i="1"/>
  <c r="AJ37" i="1" s="1"/>
  <c r="Y37" i="1"/>
  <c r="AK37" i="1" s="1"/>
  <c r="Z37" i="1"/>
  <c r="AL37" i="1" s="1"/>
  <c r="AB37" i="1"/>
  <c r="AC37" i="1"/>
  <c r="AD37" i="1"/>
  <c r="AF37" i="1"/>
  <c r="AG37" i="1"/>
  <c r="AH37" i="1" s="1"/>
  <c r="AI37" i="1"/>
  <c r="X38" i="1"/>
  <c r="AJ38" i="1" s="1"/>
  <c r="Y38" i="1"/>
  <c r="AK38" i="1" s="1"/>
  <c r="Z38" i="1"/>
  <c r="AL38" i="1" s="1"/>
  <c r="AB38" i="1"/>
  <c r="AC38" i="1"/>
  <c r="AD38" i="1"/>
  <c r="AF38" i="1"/>
  <c r="AG38" i="1"/>
  <c r="AH38" i="1"/>
  <c r="AI38" i="1"/>
  <c r="X39" i="1"/>
  <c r="Y39" i="1"/>
  <c r="Z39" i="1"/>
  <c r="AL39" i="1" s="1"/>
  <c r="AB39" i="1"/>
  <c r="AJ39" i="1" s="1"/>
  <c r="AC39" i="1"/>
  <c r="AK39" i="1" s="1"/>
  <c r="AD39" i="1"/>
  <c r="AF39" i="1"/>
  <c r="AG39" i="1"/>
  <c r="AH39" i="1" s="1"/>
  <c r="AI39" i="1"/>
  <c r="X40" i="1"/>
  <c r="Y40" i="1"/>
  <c r="AB40" i="1"/>
  <c r="AC40" i="1"/>
  <c r="AF40" i="1"/>
  <c r="AG40" i="1"/>
  <c r="AH40" i="1" s="1"/>
  <c r="AI40" i="1"/>
  <c r="T39" i="1"/>
  <c r="U39" i="1"/>
  <c r="V39" i="1" s="1"/>
  <c r="T40" i="1"/>
  <c r="U40" i="1"/>
  <c r="V40" i="1" s="1"/>
  <c r="T23" i="1"/>
  <c r="U23" i="1"/>
  <c r="V23" i="1"/>
  <c r="X23" i="1"/>
  <c r="Y23" i="1"/>
  <c r="Z23" i="1"/>
  <c r="AB23" i="1"/>
  <c r="AC23" i="1"/>
  <c r="AD23" i="1"/>
  <c r="AF23" i="1"/>
  <c r="AG23" i="1"/>
  <c r="AH23" i="1"/>
  <c r="AI23" i="1"/>
  <c r="AJ23" i="1"/>
  <c r="AK23" i="1"/>
  <c r="AL23" i="1"/>
  <c r="T24" i="1"/>
  <c r="U24" i="1"/>
  <c r="V24" i="1"/>
  <c r="X24" i="1"/>
  <c r="Y24" i="1"/>
  <c r="Z24" i="1"/>
  <c r="AB24" i="1"/>
  <c r="AC24" i="1"/>
  <c r="AD24" i="1"/>
  <c r="AF24" i="1"/>
  <c r="AG24" i="1"/>
  <c r="AH24" i="1"/>
  <c r="AI24" i="1"/>
  <c r="AJ24" i="1"/>
  <c r="AK24" i="1"/>
  <c r="AL24" i="1"/>
  <c r="T25" i="1"/>
  <c r="U25" i="1"/>
  <c r="V25" i="1"/>
  <c r="X25" i="1"/>
  <c r="Y25" i="1"/>
  <c r="Z25" i="1"/>
  <c r="AB25" i="1"/>
  <c r="AC25" i="1"/>
  <c r="AD25" i="1"/>
  <c r="AF25" i="1"/>
  <c r="AG25" i="1"/>
  <c r="AH25" i="1"/>
  <c r="AI25" i="1"/>
  <c r="AJ25" i="1"/>
  <c r="AK25" i="1"/>
  <c r="AL25" i="1"/>
  <c r="T26" i="1"/>
  <c r="U26" i="1"/>
  <c r="V26" i="1"/>
  <c r="X26" i="1"/>
  <c r="Y26" i="1"/>
  <c r="Z26" i="1"/>
  <c r="AB26" i="1"/>
  <c r="AC26" i="1"/>
  <c r="AD26" i="1"/>
  <c r="AF26" i="1"/>
  <c r="AG26" i="1"/>
  <c r="AH26" i="1"/>
  <c r="AI26" i="1"/>
  <c r="AJ26" i="1"/>
  <c r="AK26" i="1"/>
  <c r="AL26" i="1"/>
  <c r="T27" i="1"/>
  <c r="U27" i="1"/>
  <c r="V27" i="1"/>
  <c r="X27" i="1"/>
  <c r="Y27" i="1"/>
  <c r="Z27" i="1"/>
  <c r="AB27" i="1"/>
  <c r="AC27" i="1"/>
  <c r="AD27" i="1"/>
  <c r="AF27" i="1"/>
  <c r="AG27" i="1"/>
  <c r="AH27" i="1"/>
  <c r="AI27" i="1"/>
  <c r="AJ27" i="1"/>
  <c r="AK27" i="1"/>
  <c r="AL27" i="1"/>
  <c r="T28" i="1"/>
  <c r="U28" i="1"/>
  <c r="V28" i="1"/>
  <c r="X28" i="1"/>
  <c r="Y28" i="1"/>
  <c r="Z28" i="1"/>
  <c r="AB28" i="1"/>
  <c r="AC28" i="1"/>
  <c r="AD28" i="1"/>
  <c r="AF28" i="1"/>
  <c r="AG28" i="1"/>
  <c r="AH28" i="1"/>
  <c r="AI28" i="1"/>
  <c r="AJ28" i="1"/>
  <c r="AK28" i="1"/>
  <c r="AL28" i="1"/>
  <c r="T29" i="1"/>
  <c r="U29" i="1"/>
  <c r="V29" i="1"/>
  <c r="X29" i="1"/>
  <c r="Y29" i="1"/>
  <c r="Z29" i="1"/>
  <c r="AB29" i="1"/>
  <c r="AC29" i="1"/>
  <c r="AD29" i="1"/>
  <c r="AF29" i="1"/>
  <c r="AG29" i="1"/>
  <c r="AH29" i="1"/>
  <c r="AI29" i="1"/>
  <c r="AJ29" i="1"/>
  <c r="AK29" i="1"/>
  <c r="AL29" i="1"/>
  <c r="T30" i="1"/>
  <c r="U30" i="1"/>
  <c r="V30" i="1"/>
  <c r="X30" i="1"/>
  <c r="Y30" i="1"/>
  <c r="Z30" i="1"/>
  <c r="AB30" i="1"/>
  <c r="AC30" i="1"/>
  <c r="AD30" i="1"/>
  <c r="AF30" i="1"/>
  <c r="AG30" i="1"/>
  <c r="AH30" i="1"/>
  <c r="AI30" i="1"/>
  <c r="AJ30" i="1"/>
  <c r="AK30" i="1"/>
  <c r="AL30" i="1"/>
  <c r="T31" i="1"/>
  <c r="U31" i="1"/>
  <c r="V31" i="1"/>
  <c r="X31" i="1"/>
  <c r="Y31" i="1"/>
  <c r="Z31" i="1"/>
  <c r="AB31" i="1"/>
  <c r="AC31" i="1"/>
  <c r="AD31" i="1"/>
  <c r="AF31" i="1"/>
  <c r="AG31" i="1"/>
  <c r="AH31" i="1"/>
  <c r="AI31" i="1"/>
  <c r="AJ31" i="1"/>
  <c r="AK31" i="1"/>
  <c r="AL31" i="1"/>
  <c r="T32" i="1"/>
  <c r="U32" i="1"/>
  <c r="V32" i="1"/>
  <c r="X32" i="1"/>
  <c r="Y32" i="1"/>
  <c r="Z32" i="1"/>
  <c r="AB32" i="1"/>
  <c r="AC32" i="1"/>
  <c r="AD32" i="1"/>
  <c r="AF32" i="1"/>
  <c r="AG32" i="1"/>
  <c r="AH32" i="1"/>
  <c r="AI32" i="1"/>
  <c r="AJ32" i="1"/>
  <c r="AK32" i="1"/>
  <c r="AL32" i="1"/>
  <c r="T33" i="1"/>
  <c r="U33" i="1"/>
  <c r="V33" i="1"/>
  <c r="X33" i="1"/>
  <c r="Y33" i="1"/>
  <c r="Z33" i="1"/>
  <c r="AB33" i="1"/>
  <c r="AC33" i="1"/>
  <c r="AD33" i="1"/>
  <c r="AF33" i="1"/>
  <c r="AG33" i="1"/>
  <c r="AH33" i="1"/>
  <c r="AI33" i="1"/>
  <c r="AJ33" i="1"/>
  <c r="AK33" i="1"/>
  <c r="AL33" i="1"/>
  <c r="T34" i="1"/>
  <c r="U34" i="1"/>
  <c r="V34" i="1"/>
  <c r="X34" i="1"/>
  <c r="Y34" i="1"/>
  <c r="Z34" i="1"/>
  <c r="AB34" i="1"/>
  <c r="AC34" i="1"/>
  <c r="AD34" i="1"/>
  <c r="AF34" i="1"/>
  <c r="AG34" i="1"/>
  <c r="AH34" i="1"/>
  <c r="AI34" i="1"/>
  <c r="AJ34" i="1"/>
  <c r="AK34" i="1"/>
  <c r="AL34" i="1"/>
  <c r="T35" i="1"/>
  <c r="U35" i="1"/>
  <c r="V35" i="1"/>
  <c r="X35" i="1"/>
  <c r="Y35" i="1"/>
  <c r="Z35" i="1"/>
  <c r="AB35" i="1"/>
  <c r="AC35" i="1"/>
  <c r="AD35" i="1"/>
  <c r="AF35" i="1"/>
  <c r="AG35" i="1"/>
  <c r="AH35" i="1"/>
  <c r="AI35" i="1"/>
  <c r="AJ35" i="1"/>
  <c r="AK35" i="1"/>
  <c r="AL35" i="1"/>
  <c r="T36" i="1"/>
  <c r="U36" i="1"/>
  <c r="V36" i="1"/>
  <c r="T37" i="1"/>
  <c r="U37" i="1"/>
  <c r="V37" i="1"/>
  <c r="T38" i="1"/>
  <c r="U38" i="1"/>
  <c r="V38" i="1"/>
  <c r="R37" i="1"/>
  <c r="R38" i="1"/>
  <c r="R39" i="1"/>
  <c r="P24" i="1"/>
  <c r="Q24" i="1"/>
  <c r="R24" i="1"/>
  <c r="P25" i="1"/>
  <c r="Q25" i="1"/>
  <c r="R25" i="1"/>
  <c r="P26" i="1"/>
  <c r="Q26" i="1"/>
  <c r="R26" i="1" s="1"/>
  <c r="P27" i="1"/>
  <c r="Q27" i="1"/>
  <c r="R27" i="1"/>
  <c r="P28" i="1"/>
  <c r="Q28" i="1"/>
  <c r="R28" i="1"/>
  <c r="P29" i="1"/>
  <c r="Q29" i="1"/>
  <c r="R29" i="1"/>
  <c r="P30" i="1"/>
  <c r="Q30" i="1"/>
  <c r="R30" i="1" s="1"/>
  <c r="P31" i="1"/>
  <c r="Q31" i="1"/>
  <c r="R31" i="1" s="1"/>
  <c r="P32" i="1"/>
  <c r="Q32" i="1"/>
  <c r="R32" i="1" s="1"/>
  <c r="P33" i="1"/>
  <c r="Q33" i="1"/>
  <c r="R33" i="1"/>
  <c r="P34" i="1"/>
  <c r="Q34" i="1"/>
  <c r="R34" i="1" s="1"/>
  <c r="P35" i="1"/>
  <c r="Q35" i="1"/>
  <c r="R35" i="1" s="1"/>
  <c r="P36" i="1"/>
  <c r="Q36" i="1"/>
  <c r="R36" i="1" s="1"/>
  <c r="P37" i="1"/>
  <c r="Q37" i="1"/>
  <c r="P38" i="1"/>
  <c r="Q38" i="1"/>
  <c r="P39" i="1"/>
  <c r="Q39" i="1"/>
  <c r="P40" i="1"/>
  <c r="Q40" i="1"/>
  <c r="R40" i="1" s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N40" i="1" s="1"/>
  <c r="L24" i="1"/>
  <c r="M24" i="1"/>
  <c r="AG19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D40" i="1" s="1"/>
  <c r="Y12" i="1"/>
  <c r="Y13" i="1"/>
  <c r="Y14" i="1"/>
  <c r="Y15" i="1"/>
  <c r="Y16" i="1"/>
  <c r="Y17" i="1"/>
  <c r="Y18" i="1"/>
  <c r="Y19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D56" i="1"/>
  <c r="D55" i="1"/>
  <c r="D54" i="1"/>
  <c r="D53" i="1"/>
  <c r="E53" i="1" s="1"/>
  <c r="D52" i="1"/>
  <c r="D51" i="1"/>
  <c r="F47" i="1"/>
  <c r="D47" i="1"/>
  <c r="B47" i="1"/>
  <c r="C47" i="1"/>
  <c r="C45" i="1"/>
  <c r="AG18" i="1"/>
  <c r="AG17" i="1"/>
  <c r="AG16" i="1"/>
  <c r="AG15" i="1"/>
  <c r="AG14" i="1"/>
  <c r="Q23" i="1"/>
  <c r="P23" i="1"/>
  <c r="L23" i="1"/>
  <c r="M23" i="1"/>
  <c r="AJ40" i="1" l="1"/>
  <c r="Z40" i="1"/>
  <c r="AL40" i="1"/>
  <c r="AK40" i="1"/>
  <c r="E56" i="1"/>
  <c r="G55" i="1"/>
  <c r="H54" i="1"/>
  <c r="E52" i="1"/>
  <c r="AG13" i="1"/>
  <c r="F57" i="1"/>
  <c r="F59" i="1" s="1"/>
  <c r="C54" i="1"/>
  <c r="C55" i="1"/>
  <c r="C56" i="1"/>
  <c r="AG12" i="1"/>
  <c r="J40" i="1" l="1"/>
  <c r="D45" i="1"/>
  <c r="E51" i="1"/>
  <c r="G51" i="1"/>
  <c r="G54" i="1"/>
  <c r="G56" i="1"/>
  <c r="E54" i="1"/>
  <c r="I54" i="1" s="1"/>
  <c r="G52" i="1"/>
  <c r="H56" i="1"/>
  <c r="I56" i="1" s="1"/>
  <c r="G53" i="1"/>
  <c r="H51" i="1"/>
  <c r="H55" i="1"/>
  <c r="H53" i="1"/>
  <c r="I53" i="1" s="1"/>
  <c r="H52" i="1"/>
  <c r="I52" i="1" s="1"/>
  <c r="E55" i="1"/>
  <c r="AG2" i="1"/>
  <c r="AG3" i="1"/>
  <c r="AG4" i="1"/>
  <c r="AG5" i="1"/>
  <c r="AG6" i="1"/>
  <c r="AG7" i="1"/>
  <c r="AG8" i="1"/>
  <c r="AG9" i="1"/>
  <c r="AG10" i="1"/>
  <c r="AG11" i="1"/>
  <c r="AC3" i="1"/>
  <c r="AC4" i="1"/>
  <c r="AC5" i="1"/>
  <c r="AC6" i="1"/>
  <c r="AC2" i="1"/>
  <c r="Y3" i="1"/>
  <c r="Y4" i="1"/>
  <c r="Y5" i="1"/>
  <c r="Y6" i="1"/>
  <c r="Y7" i="1"/>
  <c r="Y8" i="1"/>
  <c r="Y9" i="1"/>
  <c r="Y10" i="1"/>
  <c r="Y11" i="1"/>
  <c r="Y2" i="1"/>
  <c r="U3" i="1"/>
  <c r="U4" i="1"/>
  <c r="U5" i="1"/>
  <c r="U2" i="1"/>
  <c r="Q2" i="1"/>
  <c r="R23" i="1" s="1"/>
  <c r="Q3" i="1"/>
  <c r="Q4" i="1"/>
  <c r="Q5" i="1"/>
  <c r="M2" i="1"/>
  <c r="N23" i="1" s="1"/>
  <c r="M3" i="1"/>
  <c r="N24" i="1" s="1"/>
  <c r="M4" i="1"/>
  <c r="N25" i="1" s="1"/>
  <c r="N26" i="1"/>
  <c r="E45" i="1" l="1"/>
  <c r="J25" i="1"/>
  <c r="J24" i="1"/>
  <c r="J26" i="1"/>
  <c r="I55" i="1"/>
  <c r="H57" i="1"/>
  <c r="H59" i="1" s="1"/>
  <c r="G57" i="1"/>
  <c r="G59" i="1" s="1"/>
  <c r="I51" i="1"/>
  <c r="J23" i="1"/>
  <c r="L59" i="1" l="1"/>
  <c r="L58" i="1"/>
  <c r="L57" i="1"/>
  <c r="L45" i="1"/>
  <c r="L56" i="1"/>
  <c r="L51" i="1"/>
  <c r="L53" i="1"/>
  <c r="L54" i="1"/>
  <c r="L52" i="1"/>
  <c r="J45" i="1"/>
  <c r="H45" i="1"/>
  <c r="F45" i="1"/>
  <c r="I57" i="1"/>
  <c r="I58" i="1" s="1"/>
  <c r="I60" i="1" s="1"/>
  <c r="I59" i="1" l="1"/>
</calcChain>
</file>

<file path=xl/sharedStrings.xml><?xml version="1.0" encoding="utf-8"?>
<sst xmlns="http://schemas.openxmlformats.org/spreadsheetml/2006/main" count="460" uniqueCount="135">
  <si>
    <t>ที่อยู่อีเมล</t>
  </si>
  <si>
    <t>อีเมล(นักศึกษา)</t>
  </si>
  <si>
    <t>คำนำหน้าชื่อ</t>
  </si>
  <si>
    <t>ชื่อ</t>
  </si>
  <si>
    <t>นามสกุล</t>
  </si>
  <si>
    <t>รหัสนักศึกษา</t>
  </si>
  <si>
    <t>สาขา</t>
  </si>
  <si>
    <t>ClassNo.</t>
  </si>
  <si>
    <t>s6604053620027@email.kmutnb.ac.th</t>
  </si>
  <si>
    <t>นาย</t>
  </si>
  <si>
    <t xml:space="preserve">หริรักษ์ </t>
  </si>
  <si>
    <t>ตึกประโคน</t>
  </si>
  <si>
    <t>SDA</t>
  </si>
  <si>
    <t>peat0869022253@gmail.com</t>
  </si>
  <si>
    <t>s6604053630260@email.kmutnb.ac.th</t>
  </si>
  <si>
    <t>โปรดปราน</t>
  </si>
  <si>
    <t>หาญณรงค์</t>
  </si>
  <si>
    <t>C</t>
  </si>
  <si>
    <t>D+</t>
  </si>
  <si>
    <t>C+</t>
  </si>
  <si>
    <t>B</t>
  </si>
  <si>
    <t>arisamongmart@gmail.com</t>
  </si>
  <si>
    <t>s6604053620213@email.kmutnb.ac.th</t>
  </si>
  <si>
    <t>นางสาว</t>
  </si>
  <si>
    <t>อริสา</t>
  </si>
  <si>
    <t>โหม่งมาตย์</t>
  </si>
  <si>
    <t>B+</t>
  </si>
  <si>
    <t>A</t>
  </si>
  <si>
    <t>s6604053630286@email.kmutnb.ac.th</t>
  </si>
  <si>
    <t>แพรวนพัฒน์</t>
  </si>
  <si>
    <t>เฉลิมทอง</t>
  </si>
  <si>
    <t>s6604053610340@email.kmutnb.ac.th</t>
  </si>
  <si>
    <t>ศศิวิมล</t>
  </si>
  <si>
    <t>ประทานทรัพย์</t>
  </si>
  <si>
    <t>s6604053620108@email.kmutnb.ac.th</t>
  </si>
  <si>
    <t>วนภัทร</t>
  </si>
  <si>
    <t>เชื้อโตหลวง</t>
  </si>
  <si>
    <t>s6604053630081@email.kmutnb.ac.th</t>
  </si>
  <si>
    <t>ณัฐณิชา</t>
  </si>
  <si>
    <t>สังข์เขียว</t>
  </si>
  <si>
    <t>s6604053630219@email.kmutnb.ac.th</t>
  </si>
  <si>
    <t>นิมมิดา</t>
  </si>
  <si>
    <t>สุภานิจวงศ์</t>
  </si>
  <si>
    <t>s6604053630278@email.kmutnb.ac.th</t>
  </si>
  <si>
    <t>พัชรพล</t>
  </si>
  <si>
    <t>เวินไธสง</t>
  </si>
  <si>
    <t>earth.narathip1244@gmail.com</t>
  </si>
  <si>
    <t>s6604053630171@email.kmutnb.ac.th</t>
  </si>
  <si>
    <t>นราธิป</t>
  </si>
  <si>
    <t>รื่นยาน</t>
  </si>
  <si>
    <t xml:space="preserve">MATHEMATICS I  </t>
  </si>
  <si>
    <t xml:space="preserve">PHYSICS IN DAILY LIFE </t>
  </si>
  <si>
    <t>STAT DATA COLLEC &amp; MNGT</t>
  </si>
  <si>
    <t xml:space="preserve">INTRODUCTION TO PROBABILITY  </t>
  </si>
  <si>
    <t xml:space="preserve">ENGLISH I  </t>
  </si>
  <si>
    <t xml:space="preserve">PSYCHOLOGY FOR HAPPY LIFE  </t>
  </si>
  <si>
    <t>GPA</t>
  </si>
  <si>
    <t>No</t>
  </si>
  <si>
    <t>Letter</t>
  </si>
  <si>
    <t>Numeric</t>
  </si>
  <si>
    <t>D</t>
  </si>
  <si>
    <t>F</t>
  </si>
  <si>
    <t>I</t>
  </si>
  <si>
    <t>W</t>
  </si>
  <si>
    <t>No of Credit</t>
  </si>
  <si>
    <t>Earned Credit</t>
  </si>
  <si>
    <t>Weighted Credit</t>
  </si>
  <si>
    <t>Weighted Score</t>
  </si>
  <si>
    <t xml:space="preserve">Sum </t>
  </si>
  <si>
    <t>Sum Weighted Score</t>
  </si>
  <si>
    <t>Sum No of Credit</t>
  </si>
  <si>
    <t>Sum Earned Credit</t>
  </si>
  <si>
    <t>Sum Weighted Credit</t>
  </si>
  <si>
    <t>DGET</t>
  </si>
  <si>
    <t>DMAX GPA</t>
  </si>
  <si>
    <t>Daverage</t>
  </si>
  <si>
    <t>DCOUNT</t>
  </si>
  <si>
    <t>s6604053630481@email.kmutnb.ac.th</t>
  </si>
  <si>
    <t>อดิศร</t>
  </si>
  <si>
    <t>อิกนา</t>
  </si>
  <si>
    <t>DMIN GPA</t>
  </si>
  <si>
    <t>รหัสวิชา</t>
  </si>
  <si>
    <t>040203101</t>
  </si>
  <si>
    <t>040313016</t>
  </si>
  <si>
    <t>040513101</t>
  </si>
  <si>
    <t>040513102</t>
  </si>
  <si>
    <t>080103001</t>
  </si>
  <si>
    <t>080303103</t>
  </si>
  <si>
    <t>ชื่อวิชา</t>
  </si>
  <si>
    <t xml:space="preserve"> MATHEMATICS I</t>
  </si>
  <si>
    <t xml:space="preserve"> PHYSICS IN DAILY LIFE</t>
  </si>
  <si>
    <t xml:space="preserve"> STAT DATA COLLEC &amp; MNGT</t>
  </si>
  <si>
    <t xml:space="preserve"> INTRODUCTION TO PROBABILITY</t>
  </si>
  <si>
    <t xml:space="preserve"> ENGLISH I</t>
  </si>
  <si>
    <t xml:space="preserve"> PSYCHOLOGY FOR HAPPY LIFE</t>
  </si>
  <si>
    <t>Grade</t>
  </si>
  <si>
    <t>Numeric Grade</t>
  </si>
  <si>
    <t>Summation</t>
  </si>
  <si>
    <t>Accumulative</t>
  </si>
  <si>
    <t>GPA_X</t>
  </si>
  <si>
    <t>สถานะ</t>
  </si>
  <si>
    <t>กรอกรหัสนักศึกษาเพื่อดู ClassNo,GPA,สถานะนักศึกษา</t>
  </si>
  <si>
    <t>GPA มากที่สุดและน้อยที่สุด</t>
  </si>
  <si>
    <t>ค่าเฉลี่ย GPA</t>
  </si>
  <si>
    <t>mamonchannel@gmail.com</t>
  </si>
  <si>
    <t>ฮัยดัร</t>
  </si>
  <si>
    <t>ดีแม</t>
  </si>
  <si>
    <t>s6604053630553@email.kmutnb.ac.th</t>
  </si>
  <si>
    <t>Number</t>
  </si>
  <si>
    <t>Condition</t>
  </si>
  <si>
    <t>sd</t>
  </si>
  <si>
    <t>โสโธ</t>
  </si>
  <si>
    <t>โสโท</t>
  </si>
  <si>
    <t>&lt; 2</t>
  </si>
  <si>
    <t>asd</t>
  </si>
  <si>
    <t>660405eiei</t>
  </si>
  <si>
    <t>ห้าง</t>
  </si>
  <si>
    <t>หมักเสี่ยว</t>
  </si>
  <si>
    <t>&lt;3.00</t>
  </si>
  <si>
    <t>คำนำหน้า</t>
  </si>
  <si>
    <t>ASI</t>
  </si>
  <si>
    <t>ลีน่า</t>
  </si>
  <si>
    <t>จัง</t>
  </si>
  <si>
    <t>660405363EARTH</t>
  </si>
  <si>
    <t>fsfs</t>
  </si>
  <si>
    <t>sfsfs</t>
  </si>
  <si>
    <t>sfgsgg</t>
  </si>
  <si>
    <t>herhhh</t>
  </si>
  <si>
    <t>66040536301341</t>
  </si>
  <si>
    <t>รัตนะ</t>
  </si>
  <si>
    <t>ธีรภัทร์</t>
  </si>
  <si>
    <t>dgkgkk</t>
  </si>
  <si>
    <t>dgdggdg</t>
  </si>
  <si>
    <t>ราชมงคล</t>
  </si>
  <si>
    <t>หกดหด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</si>
</sst>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6"/>
      <color rgb="FF6E6B7B"/>
      <name val="Angsana New"/>
      <family val="1"/>
    </font>
    <font>
      <sz val="11"/>
      <color rgb="FF000000"/>
      <name val="Tahoma"/>
      <family val="2"/>
    </font>
    <font>
      <sz val="10"/>
      <color rgb="FF1F1F1F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4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C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4" fillId="4" borderId="4" xfId="0" applyFont="1" applyFill="1" applyBorder="1" applyAlignment="1">
      <alignment horizontal="center" wrapText="1"/>
    </xf>
    <xf numFmtId="2" fontId="4" fillId="4" borderId="5" xfId="0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center" wrapText="1"/>
    </xf>
    <xf numFmtId="0" fontId="0" fillId="0" borderId="1" xfId="0" applyBorder="1"/>
    <xf numFmtId="0" fontId="0" fillId="5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1" xfId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1" fillId="0" borderId="11" xfId="1" applyFont="1" applyFill="1" applyBorder="1" applyAlignment="1">
      <alignment horizontal="left" vertical="center"/>
    </xf>
    <xf numFmtId="0" fontId="11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6604053630553@email.kmutnb.ac.th" TargetMode="External"/><Relationship Id="rId2" Type="http://schemas.openxmlformats.org/officeDocument/2006/relationships/hyperlink" Target="mailto:s6604053630481@email.kmutnb.ac.th" TargetMode="External"/><Relationship Id="rId1" Type="http://schemas.openxmlformats.org/officeDocument/2006/relationships/hyperlink" Target="mailto:s6604053630481@email.kmutnb.ac.th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6604053630553@email.kmutnb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0"/>
  <sheetViews>
    <sheetView tabSelected="1" zoomScale="85" zoomScaleNormal="85" workbookViewId="0">
      <pane ySplit="1" topLeftCell="A2" activePane="bottomLeft" state="frozen"/>
      <selection pane="bottomLeft" activeCell="G61" sqref="G61"/>
    </sheetView>
  </sheetViews>
  <sheetFormatPr defaultColWidth="12.6640625" defaultRowHeight="15.75" customHeight="1" x14ac:dyDescent="0.25"/>
  <cols>
    <col min="1" max="1" width="19" customWidth="1"/>
    <col min="2" max="2" width="38" customWidth="1"/>
    <col min="3" max="3" width="38.5546875" customWidth="1"/>
    <col min="4" max="4" width="20.33203125" customWidth="1"/>
    <col min="5" max="5" width="18.88671875" customWidth="1"/>
    <col min="6" max="6" width="20.5546875" customWidth="1"/>
    <col min="7" max="10" width="18.88671875" customWidth="1"/>
    <col min="11" max="34" width="30.6640625" customWidth="1"/>
    <col min="35" max="40" width="20.6640625" customWidth="1"/>
  </cols>
  <sheetData>
    <row r="1" spans="1:42" ht="19.95" customHeight="1" x14ac:dyDescent="0.25">
      <c r="A1" s="30" t="s">
        <v>57</v>
      </c>
      <c r="B1" s="30" t="s">
        <v>1</v>
      </c>
      <c r="C1" s="30" t="s">
        <v>0</v>
      </c>
      <c r="D1" s="30" t="s">
        <v>7</v>
      </c>
      <c r="E1" s="30" t="s">
        <v>5</v>
      </c>
      <c r="F1" s="30" t="s">
        <v>2</v>
      </c>
      <c r="G1" s="30" t="s">
        <v>3</v>
      </c>
      <c r="H1" s="30" t="s">
        <v>4</v>
      </c>
      <c r="I1" s="30" t="s">
        <v>6</v>
      </c>
      <c r="J1" s="30" t="s">
        <v>56</v>
      </c>
      <c r="K1" s="84" t="s">
        <v>50</v>
      </c>
      <c r="L1" s="84"/>
      <c r="M1" s="84"/>
      <c r="N1" s="84"/>
      <c r="O1" s="88" t="s">
        <v>51</v>
      </c>
      <c r="P1" s="88"/>
      <c r="Q1" s="88"/>
      <c r="R1" s="88"/>
      <c r="S1" s="87" t="s">
        <v>52</v>
      </c>
      <c r="T1" s="87"/>
      <c r="U1" s="87"/>
      <c r="V1" s="87"/>
      <c r="W1" s="86" t="s">
        <v>53</v>
      </c>
      <c r="X1" s="86"/>
      <c r="Y1" s="86"/>
      <c r="Z1" s="86"/>
      <c r="AA1" s="85" t="s">
        <v>54</v>
      </c>
      <c r="AB1" s="85"/>
      <c r="AC1" s="85"/>
      <c r="AD1" s="85"/>
      <c r="AE1" s="84" t="s">
        <v>55</v>
      </c>
      <c r="AF1" s="84"/>
      <c r="AG1" s="84"/>
      <c r="AH1" s="84"/>
      <c r="AI1" s="12" t="s">
        <v>70</v>
      </c>
      <c r="AJ1" s="12" t="s">
        <v>71</v>
      </c>
      <c r="AK1" s="12" t="s">
        <v>72</v>
      </c>
      <c r="AL1" s="12" t="s">
        <v>69</v>
      </c>
    </row>
    <row r="2" spans="1:42" ht="19.95" customHeight="1" x14ac:dyDescent="0.25">
      <c r="A2" s="32">
        <v>1</v>
      </c>
      <c r="B2" s="33" t="s">
        <v>8</v>
      </c>
      <c r="C2" s="34" t="s">
        <v>8</v>
      </c>
      <c r="D2" s="42">
        <v>93</v>
      </c>
      <c r="E2" s="32">
        <v>6604053620027</v>
      </c>
      <c r="F2" s="33" t="s">
        <v>9</v>
      </c>
      <c r="G2" s="33" t="s">
        <v>10</v>
      </c>
      <c r="H2" s="33" t="s">
        <v>11</v>
      </c>
      <c r="I2" s="33" t="s">
        <v>12</v>
      </c>
      <c r="J2" s="37">
        <v>2.83</v>
      </c>
      <c r="K2" s="69" t="s">
        <v>19</v>
      </c>
      <c r="L2" s="69"/>
      <c r="M2" s="60">
        <f t="shared" ref="M2:M4" si="0">VLOOKUP(K2,$AO$7:$AP$16,2)</f>
        <v>2.5</v>
      </c>
      <c r="N2" s="60"/>
      <c r="O2" s="69" t="s">
        <v>17</v>
      </c>
      <c r="P2" s="69"/>
      <c r="Q2" s="64">
        <f t="shared" ref="Q2:Q5" si="1">VLOOKUP(O2,$AO$7:$AP$16,2)</f>
        <v>2</v>
      </c>
      <c r="R2" s="64"/>
      <c r="S2" s="69" t="s">
        <v>20</v>
      </c>
      <c r="T2" s="69"/>
      <c r="U2" s="60">
        <f t="shared" ref="U2:U5" si="2">VLOOKUP(S2,$AO$7:$AP$16,2)</f>
        <v>3</v>
      </c>
      <c r="V2" s="60"/>
      <c r="W2" s="69" t="s">
        <v>20</v>
      </c>
      <c r="X2" s="69"/>
      <c r="Y2" s="63">
        <f t="shared" ref="Y2:Y11" si="3">VLOOKUP(W2,$AO$7:$AP$16,2)</f>
        <v>3</v>
      </c>
      <c r="Z2" s="63"/>
      <c r="AA2" s="69" t="s">
        <v>26</v>
      </c>
      <c r="AB2" s="69"/>
      <c r="AC2" s="63">
        <f t="shared" ref="AC2:AC6" si="4">VLOOKUP(AA2,$AO$7:$AP$16,2)</f>
        <v>3.5</v>
      </c>
      <c r="AD2" s="63"/>
      <c r="AE2" s="69" t="s">
        <v>20</v>
      </c>
      <c r="AF2" s="69"/>
      <c r="AG2" s="60">
        <f t="shared" ref="AG2:AG11" si="5">VLOOKUP(AE2,$AO$7:$AP$16,2)</f>
        <v>3</v>
      </c>
      <c r="AH2" s="60"/>
    </row>
    <row r="3" spans="1:42" ht="19.95" customHeight="1" x14ac:dyDescent="0.25">
      <c r="A3" s="32">
        <v>2</v>
      </c>
      <c r="B3" s="33" t="s">
        <v>14</v>
      </c>
      <c r="C3" s="34" t="s">
        <v>13</v>
      </c>
      <c r="D3" s="33">
        <v>137</v>
      </c>
      <c r="E3" s="32">
        <v>6604053630260</v>
      </c>
      <c r="F3" s="33" t="s">
        <v>9</v>
      </c>
      <c r="G3" s="33" t="s">
        <v>15</v>
      </c>
      <c r="H3" s="33" t="s">
        <v>16</v>
      </c>
      <c r="I3" s="33" t="s">
        <v>12</v>
      </c>
      <c r="J3" s="37">
        <v>2.33</v>
      </c>
      <c r="K3" s="69" t="s">
        <v>17</v>
      </c>
      <c r="L3" s="69"/>
      <c r="M3" s="60">
        <f t="shared" si="0"/>
        <v>2</v>
      </c>
      <c r="N3" s="60"/>
      <c r="O3" s="69" t="s">
        <v>18</v>
      </c>
      <c r="P3" s="69"/>
      <c r="Q3" s="64">
        <f t="shared" si="1"/>
        <v>1.5</v>
      </c>
      <c r="R3" s="64"/>
      <c r="S3" s="69" t="s">
        <v>19</v>
      </c>
      <c r="T3" s="69"/>
      <c r="U3" s="60">
        <f t="shared" si="2"/>
        <v>2.5</v>
      </c>
      <c r="V3" s="60"/>
      <c r="W3" s="69" t="s">
        <v>17</v>
      </c>
      <c r="X3" s="69"/>
      <c r="Y3" s="63">
        <f t="shared" si="3"/>
        <v>2</v>
      </c>
      <c r="Z3" s="63"/>
      <c r="AA3" s="69" t="s">
        <v>20</v>
      </c>
      <c r="AB3" s="69"/>
      <c r="AC3" s="63">
        <f t="shared" si="4"/>
        <v>3</v>
      </c>
      <c r="AD3" s="63"/>
      <c r="AE3" s="69" t="s">
        <v>20</v>
      </c>
      <c r="AF3" s="69"/>
      <c r="AG3" s="60">
        <f t="shared" si="5"/>
        <v>3</v>
      </c>
      <c r="AH3" s="60"/>
    </row>
    <row r="4" spans="1:42" ht="19.95" customHeight="1" x14ac:dyDescent="0.25">
      <c r="A4" s="32">
        <v>3</v>
      </c>
      <c r="B4" s="33" t="s">
        <v>22</v>
      </c>
      <c r="C4" s="34" t="s">
        <v>21</v>
      </c>
      <c r="D4" s="33">
        <v>111</v>
      </c>
      <c r="E4" s="32">
        <v>6604053620213</v>
      </c>
      <c r="F4" s="33" t="s">
        <v>23</v>
      </c>
      <c r="G4" s="33" t="s">
        <v>24</v>
      </c>
      <c r="H4" s="33" t="s">
        <v>25</v>
      </c>
      <c r="I4" s="33" t="s">
        <v>12</v>
      </c>
      <c r="J4" s="37">
        <v>3.1</v>
      </c>
      <c r="K4" s="69" t="s">
        <v>18</v>
      </c>
      <c r="L4" s="69"/>
      <c r="M4" s="60">
        <f t="shared" si="0"/>
        <v>1.5</v>
      </c>
      <c r="N4" s="60"/>
      <c r="O4" s="86" t="s">
        <v>63</v>
      </c>
      <c r="P4" s="86"/>
      <c r="Q4" s="64">
        <f t="shared" si="1"/>
        <v>0</v>
      </c>
      <c r="R4" s="64"/>
      <c r="S4" s="69" t="s">
        <v>26</v>
      </c>
      <c r="T4" s="69"/>
      <c r="U4" s="60">
        <f t="shared" si="2"/>
        <v>3.5</v>
      </c>
      <c r="V4" s="60"/>
      <c r="W4" s="69" t="s">
        <v>19</v>
      </c>
      <c r="X4" s="69"/>
      <c r="Y4" s="63">
        <f t="shared" si="3"/>
        <v>2.5</v>
      </c>
      <c r="Z4" s="63"/>
      <c r="AA4" s="69" t="s">
        <v>27</v>
      </c>
      <c r="AB4" s="69"/>
      <c r="AC4" s="63">
        <f t="shared" si="4"/>
        <v>4</v>
      </c>
      <c r="AD4" s="63"/>
      <c r="AE4" s="69" t="s">
        <v>27</v>
      </c>
      <c r="AF4" s="69"/>
      <c r="AG4" s="60">
        <f t="shared" si="5"/>
        <v>4</v>
      </c>
      <c r="AH4" s="60"/>
    </row>
    <row r="5" spans="1:42" ht="19.95" customHeight="1" thickBot="1" x14ac:dyDescent="0.3">
      <c r="A5" s="32">
        <v>4</v>
      </c>
      <c r="B5" s="33" t="s">
        <v>28</v>
      </c>
      <c r="C5" s="34" t="s">
        <v>28</v>
      </c>
      <c r="D5" s="33">
        <v>139</v>
      </c>
      <c r="E5" s="32">
        <v>6604053630286</v>
      </c>
      <c r="F5" s="33" t="s">
        <v>23</v>
      </c>
      <c r="G5" s="33" t="s">
        <v>29</v>
      </c>
      <c r="H5" s="33" t="s">
        <v>30</v>
      </c>
      <c r="I5" s="33" t="s">
        <v>12</v>
      </c>
      <c r="J5" s="37">
        <v>3.58</v>
      </c>
      <c r="K5" s="69" t="s">
        <v>26</v>
      </c>
      <c r="L5" s="69"/>
      <c r="M5" s="60">
        <f t="shared" ref="M5:M19" si="6">VLOOKUP(K5,$AO$7:$AP$16,2)</f>
        <v>3.5</v>
      </c>
      <c r="N5" s="60"/>
      <c r="O5" s="69" t="s">
        <v>17</v>
      </c>
      <c r="P5" s="69"/>
      <c r="Q5" s="64">
        <f t="shared" si="1"/>
        <v>2</v>
      </c>
      <c r="R5" s="64"/>
      <c r="S5" s="69" t="s">
        <v>27</v>
      </c>
      <c r="T5" s="69"/>
      <c r="U5" s="60">
        <f t="shared" si="2"/>
        <v>4</v>
      </c>
      <c r="V5" s="60"/>
      <c r="W5" s="69" t="s">
        <v>27</v>
      </c>
      <c r="X5" s="69"/>
      <c r="Y5" s="63">
        <f t="shared" si="3"/>
        <v>4</v>
      </c>
      <c r="Z5" s="63"/>
      <c r="AA5" s="69" t="s">
        <v>27</v>
      </c>
      <c r="AB5" s="69"/>
      <c r="AC5" s="63">
        <f t="shared" si="4"/>
        <v>4</v>
      </c>
      <c r="AD5" s="63"/>
      <c r="AE5" s="69" t="s">
        <v>27</v>
      </c>
      <c r="AF5" s="69"/>
      <c r="AG5" s="60">
        <f t="shared" si="5"/>
        <v>4</v>
      </c>
      <c r="AH5" s="60"/>
    </row>
    <row r="6" spans="1:42" ht="19.95" customHeight="1" thickBot="1" x14ac:dyDescent="0.3">
      <c r="A6" s="32">
        <v>5</v>
      </c>
      <c r="B6" s="33" t="s">
        <v>31</v>
      </c>
      <c r="C6" s="34" t="s">
        <v>31</v>
      </c>
      <c r="D6" s="33">
        <v>82</v>
      </c>
      <c r="E6" s="32">
        <v>6604053610340</v>
      </c>
      <c r="F6" s="33" t="s">
        <v>23</v>
      </c>
      <c r="G6" s="33" t="s">
        <v>32</v>
      </c>
      <c r="H6" s="33" t="s">
        <v>33</v>
      </c>
      <c r="I6" s="33" t="s">
        <v>12</v>
      </c>
      <c r="J6" s="37">
        <v>3</v>
      </c>
      <c r="K6" s="69" t="s">
        <v>19</v>
      </c>
      <c r="L6" s="69"/>
      <c r="M6" s="60">
        <f t="shared" si="6"/>
        <v>2.5</v>
      </c>
      <c r="N6" s="60"/>
      <c r="O6" s="69" t="s">
        <v>17</v>
      </c>
      <c r="P6" s="69"/>
      <c r="Q6" s="64">
        <f t="shared" ref="Q6:Q19" si="7">VLOOKUP(O6,$AO$7:$AP$16,2)</f>
        <v>2</v>
      </c>
      <c r="R6" s="64"/>
      <c r="S6" s="69" t="s">
        <v>27</v>
      </c>
      <c r="T6" s="69"/>
      <c r="U6" s="60">
        <f t="shared" ref="U6:U19" si="8">VLOOKUP(S6,$AO$7:$AP$16,2)</f>
        <v>4</v>
      </c>
      <c r="V6" s="60"/>
      <c r="W6" s="69" t="s">
        <v>20</v>
      </c>
      <c r="X6" s="69"/>
      <c r="Y6" s="63">
        <f t="shared" si="3"/>
        <v>3</v>
      </c>
      <c r="Z6" s="63"/>
      <c r="AA6" s="69" t="s">
        <v>20</v>
      </c>
      <c r="AB6" s="69"/>
      <c r="AC6" s="63">
        <f t="shared" si="4"/>
        <v>3</v>
      </c>
      <c r="AD6" s="63"/>
      <c r="AE6" s="69" t="s">
        <v>26</v>
      </c>
      <c r="AF6" s="69"/>
      <c r="AG6" s="60">
        <f t="shared" si="5"/>
        <v>3.5</v>
      </c>
      <c r="AH6" s="60"/>
      <c r="AO6" s="3" t="s">
        <v>58</v>
      </c>
      <c r="AP6" s="4" t="s">
        <v>59</v>
      </c>
    </row>
    <row r="7" spans="1:42" ht="19.95" customHeight="1" thickBot="1" x14ac:dyDescent="0.3">
      <c r="A7" s="32">
        <v>6</v>
      </c>
      <c r="B7" s="33" t="s">
        <v>34</v>
      </c>
      <c r="C7" s="34" t="s">
        <v>34</v>
      </c>
      <c r="D7" s="33">
        <v>101</v>
      </c>
      <c r="E7" s="32">
        <v>6604053620108</v>
      </c>
      <c r="F7" s="33" t="s">
        <v>9</v>
      </c>
      <c r="G7" s="33" t="s">
        <v>35</v>
      </c>
      <c r="H7" s="33" t="s">
        <v>36</v>
      </c>
      <c r="I7" s="33" t="s">
        <v>12</v>
      </c>
      <c r="J7" s="37">
        <v>3</v>
      </c>
      <c r="K7" s="69" t="s">
        <v>20</v>
      </c>
      <c r="L7" s="69"/>
      <c r="M7" s="60">
        <f t="shared" si="6"/>
        <v>3</v>
      </c>
      <c r="N7" s="60"/>
      <c r="O7" s="69" t="s">
        <v>17</v>
      </c>
      <c r="P7" s="69"/>
      <c r="Q7" s="64">
        <f t="shared" si="7"/>
        <v>2</v>
      </c>
      <c r="R7" s="64"/>
      <c r="S7" s="69" t="s">
        <v>27</v>
      </c>
      <c r="T7" s="69"/>
      <c r="U7" s="60">
        <f t="shared" si="8"/>
        <v>4</v>
      </c>
      <c r="V7" s="60"/>
      <c r="W7" s="69" t="s">
        <v>20</v>
      </c>
      <c r="X7" s="69"/>
      <c r="Y7" s="63">
        <f t="shared" si="3"/>
        <v>3</v>
      </c>
      <c r="Z7" s="63"/>
      <c r="AA7" s="69" t="s">
        <v>19</v>
      </c>
      <c r="AB7" s="69"/>
      <c r="AC7" s="63">
        <f t="shared" ref="AC7:AC19" si="9">VLOOKUP(AA7,$AO$7:$AP$16,2)</f>
        <v>2.5</v>
      </c>
      <c r="AD7" s="63"/>
      <c r="AE7" s="69" t="s">
        <v>26</v>
      </c>
      <c r="AF7" s="69"/>
      <c r="AG7" s="60">
        <f t="shared" si="5"/>
        <v>3.5</v>
      </c>
      <c r="AH7" s="60"/>
      <c r="AO7" s="1" t="s">
        <v>27</v>
      </c>
      <c r="AP7" s="2">
        <v>4</v>
      </c>
    </row>
    <row r="8" spans="1:42" ht="19.95" customHeight="1" thickBot="1" x14ac:dyDescent="0.3">
      <c r="A8" s="32">
        <v>7</v>
      </c>
      <c r="B8" s="33" t="s">
        <v>37</v>
      </c>
      <c r="C8" s="34" t="s">
        <v>37</v>
      </c>
      <c r="D8" s="33">
        <v>119</v>
      </c>
      <c r="E8" s="32">
        <v>6604053630081</v>
      </c>
      <c r="F8" s="33" t="s">
        <v>23</v>
      </c>
      <c r="G8" s="33" t="s">
        <v>38</v>
      </c>
      <c r="H8" s="33" t="s">
        <v>39</v>
      </c>
      <c r="I8" s="33" t="s">
        <v>12</v>
      </c>
      <c r="J8" s="37">
        <v>3.08</v>
      </c>
      <c r="K8" s="69" t="s">
        <v>19</v>
      </c>
      <c r="L8" s="69"/>
      <c r="M8" s="60">
        <f t="shared" si="6"/>
        <v>2.5</v>
      </c>
      <c r="N8" s="60"/>
      <c r="O8" s="69" t="s">
        <v>18</v>
      </c>
      <c r="P8" s="69"/>
      <c r="Q8" s="64">
        <f t="shared" si="7"/>
        <v>1.5</v>
      </c>
      <c r="R8" s="64"/>
      <c r="S8" s="69" t="s">
        <v>27</v>
      </c>
      <c r="T8" s="69"/>
      <c r="U8" s="60">
        <f t="shared" si="8"/>
        <v>4</v>
      </c>
      <c r="V8" s="60"/>
      <c r="W8" s="69" t="s">
        <v>20</v>
      </c>
      <c r="X8" s="69"/>
      <c r="Y8" s="63">
        <f t="shared" si="3"/>
        <v>3</v>
      </c>
      <c r="Z8" s="63"/>
      <c r="AA8" s="69" t="s">
        <v>26</v>
      </c>
      <c r="AB8" s="69"/>
      <c r="AC8" s="63">
        <f t="shared" si="9"/>
        <v>3.5</v>
      </c>
      <c r="AD8" s="63"/>
      <c r="AE8" s="69" t="s">
        <v>27</v>
      </c>
      <c r="AF8" s="69"/>
      <c r="AG8" s="60">
        <f t="shared" si="5"/>
        <v>4</v>
      </c>
      <c r="AH8" s="60"/>
      <c r="AO8" s="1" t="s">
        <v>20</v>
      </c>
      <c r="AP8" s="2">
        <v>3</v>
      </c>
    </row>
    <row r="9" spans="1:42" ht="19.95" customHeight="1" thickBot="1" x14ac:dyDescent="0.3">
      <c r="A9" s="32">
        <v>8</v>
      </c>
      <c r="B9" s="33" t="s">
        <v>40</v>
      </c>
      <c r="C9" s="34" t="s">
        <v>40</v>
      </c>
      <c r="D9" s="33">
        <v>132</v>
      </c>
      <c r="E9" s="32">
        <v>6604053630219</v>
      </c>
      <c r="F9" s="33" t="s">
        <v>23</v>
      </c>
      <c r="G9" s="33" t="s">
        <v>41</v>
      </c>
      <c r="H9" s="33" t="s">
        <v>42</v>
      </c>
      <c r="I9" s="33" t="s">
        <v>12</v>
      </c>
      <c r="J9" s="37">
        <v>3.41</v>
      </c>
      <c r="K9" s="69" t="s">
        <v>26</v>
      </c>
      <c r="L9" s="69"/>
      <c r="M9" s="60">
        <f t="shared" si="6"/>
        <v>3.5</v>
      </c>
      <c r="N9" s="60"/>
      <c r="O9" s="69" t="s">
        <v>17</v>
      </c>
      <c r="P9" s="69"/>
      <c r="Q9" s="64">
        <f t="shared" si="7"/>
        <v>2</v>
      </c>
      <c r="R9" s="64"/>
      <c r="S9" s="69" t="s">
        <v>27</v>
      </c>
      <c r="T9" s="69"/>
      <c r="U9" s="60">
        <f t="shared" si="8"/>
        <v>4</v>
      </c>
      <c r="V9" s="60"/>
      <c r="W9" s="69" t="s">
        <v>20</v>
      </c>
      <c r="X9" s="69"/>
      <c r="Y9" s="63">
        <f t="shared" si="3"/>
        <v>3</v>
      </c>
      <c r="Z9" s="63"/>
      <c r="AA9" s="69" t="s">
        <v>27</v>
      </c>
      <c r="AB9" s="69"/>
      <c r="AC9" s="63">
        <f t="shared" si="9"/>
        <v>4</v>
      </c>
      <c r="AD9" s="63"/>
      <c r="AE9" s="69" t="s">
        <v>27</v>
      </c>
      <c r="AF9" s="69"/>
      <c r="AG9" s="60">
        <f t="shared" si="5"/>
        <v>4</v>
      </c>
      <c r="AH9" s="60"/>
      <c r="AO9" s="1" t="s">
        <v>26</v>
      </c>
      <c r="AP9" s="2">
        <v>3.5</v>
      </c>
    </row>
    <row r="10" spans="1:42" ht="19.95" customHeight="1" thickBot="1" x14ac:dyDescent="0.3">
      <c r="A10" s="32">
        <v>9</v>
      </c>
      <c r="B10" s="33" t="s">
        <v>43</v>
      </c>
      <c r="C10" s="34" t="s">
        <v>43</v>
      </c>
      <c r="D10" s="33">
        <v>138</v>
      </c>
      <c r="E10" s="32">
        <v>6604053630278</v>
      </c>
      <c r="F10" s="33" t="s">
        <v>9</v>
      </c>
      <c r="G10" s="33" t="s">
        <v>44</v>
      </c>
      <c r="H10" s="33" t="s">
        <v>45</v>
      </c>
      <c r="I10" s="33" t="s">
        <v>12</v>
      </c>
      <c r="J10" s="37">
        <v>3.83</v>
      </c>
      <c r="K10" s="69" t="s">
        <v>27</v>
      </c>
      <c r="L10" s="69"/>
      <c r="M10" s="60">
        <f t="shared" si="6"/>
        <v>4</v>
      </c>
      <c r="N10" s="60"/>
      <c r="O10" s="69" t="s">
        <v>26</v>
      </c>
      <c r="P10" s="69"/>
      <c r="Q10" s="64">
        <f t="shared" si="7"/>
        <v>3.5</v>
      </c>
      <c r="R10" s="64"/>
      <c r="S10" s="69" t="s">
        <v>27</v>
      </c>
      <c r="T10" s="69"/>
      <c r="U10" s="60">
        <f t="shared" si="8"/>
        <v>4</v>
      </c>
      <c r="V10" s="60"/>
      <c r="W10" s="69" t="s">
        <v>26</v>
      </c>
      <c r="X10" s="69"/>
      <c r="Y10" s="63">
        <f t="shared" si="3"/>
        <v>3.5</v>
      </c>
      <c r="Z10" s="63"/>
      <c r="AA10" s="69" t="s">
        <v>27</v>
      </c>
      <c r="AB10" s="69"/>
      <c r="AC10" s="63">
        <f t="shared" si="9"/>
        <v>4</v>
      </c>
      <c r="AD10" s="63"/>
      <c r="AE10" s="69" t="s">
        <v>27</v>
      </c>
      <c r="AF10" s="69"/>
      <c r="AG10" s="60">
        <f t="shared" si="5"/>
        <v>4</v>
      </c>
      <c r="AH10" s="60"/>
      <c r="AO10" s="1" t="s">
        <v>17</v>
      </c>
      <c r="AP10" s="2">
        <v>2</v>
      </c>
    </row>
    <row r="11" spans="1:42" ht="19.95" customHeight="1" thickBot="1" x14ac:dyDescent="0.3">
      <c r="A11" s="32">
        <v>10</v>
      </c>
      <c r="B11" s="33" t="s">
        <v>47</v>
      </c>
      <c r="C11" s="34" t="s">
        <v>46</v>
      </c>
      <c r="D11" s="33">
        <v>128</v>
      </c>
      <c r="E11" s="32">
        <v>6604053630171</v>
      </c>
      <c r="F11" s="33" t="s">
        <v>9</v>
      </c>
      <c r="G11" s="33" t="s">
        <v>48</v>
      </c>
      <c r="H11" s="33" t="s">
        <v>49</v>
      </c>
      <c r="I11" s="33" t="s">
        <v>12</v>
      </c>
      <c r="J11" s="37">
        <v>2.5</v>
      </c>
      <c r="K11" s="69" t="s">
        <v>19</v>
      </c>
      <c r="L11" s="69"/>
      <c r="M11" s="60">
        <f t="shared" si="6"/>
        <v>2.5</v>
      </c>
      <c r="N11" s="60"/>
      <c r="O11" s="69" t="s">
        <v>18</v>
      </c>
      <c r="P11" s="69"/>
      <c r="Q11" s="64">
        <f t="shared" si="7"/>
        <v>1.5</v>
      </c>
      <c r="R11" s="64"/>
      <c r="S11" s="69" t="s">
        <v>19</v>
      </c>
      <c r="T11" s="69"/>
      <c r="U11" s="60">
        <f t="shared" si="8"/>
        <v>2.5</v>
      </c>
      <c r="V11" s="60"/>
      <c r="W11" s="69" t="s">
        <v>20</v>
      </c>
      <c r="X11" s="69"/>
      <c r="Y11" s="63">
        <f t="shared" si="3"/>
        <v>3</v>
      </c>
      <c r="Z11" s="63"/>
      <c r="AA11" s="69" t="s">
        <v>19</v>
      </c>
      <c r="AB11" s="69"/>
      <c r="AC11" s="63">
        <f t="shared" si="9"/>
        <v>2.5</v>
      </c>
      <c r="AD11" s="63"/>
      <c r="AE11" s="69" t="s">
        <v>20</v>
      </c>
      <c r="AF11" s="69"/>
      <c r="AG11" s="60">
        <f t="shared" si="5"/>
        <v>3</v>
      </c>
      <c r="AH11" s="60"/>
      <c r="AO11" s="1" t="s">
        <v>19</v>
      </c>
      <c r="AP11" s="2">
        <v>2.5</v>
      </c>
    </row>
    <row r="12" spans="1:42" ht="19.95" customHeight="1" thickBot="1" x14ac:dyDescent="0.3">
      <c r="A12" s="43">
        <v>11</v>
      </c>
      <c r="B12" s="43" t="s">
        <v>77</v>
      </c>
      <c r="C12" s="44" t="s">
        <v>77</v>
      </c>
      <c r="D12" s="43">
        <v>152</v>
      </c>
      <c r="E12" s="45">
        <v>6604053630481</v>
      </c>
      <c r="F12" s="43" t="s">
        <v>9</v>
      </c>
      <c r="G12" s="46" t="s">
        <v>78</v>
      </c>
      <c r="H12" s="46" t="s">
        <v>79</v>
      </c>
      <c r="I12" s="47" t="s">
        <v>12</v>
      </c>
      <c r="J12" s="46">
        <v>3.08</v>
      </c>
      <c r="K12" s="81" t="s">
        <v>19</v>
      </c>
      <c r="L12" s="82"/>
      <c r="M12" s="60">
        <f t="shared" si="6"/>
        <v>2.5</v>
      </c>
      <c r="N12" s="60"/>
      <c r="O12" s="81" t="s">
        <v>17</v>
      </c>
      <c r="P12" s="82"/>
      <c r="Q12" s="64">
        <f t="shared" si="7"/>
        <v>2</v>
      </c>
      <c r="R12" s="64"/>
      <c r="S12" s="81" t="s">
        <v>27</v>
      </c>
      <c r="T12" s="81"/>
      <c r="U12" s="60">
        <f t="shared" si="8"/>
        <v>4</v>
      </c>
      <c r="V12" s="60"/>
      <c r="W12" s="81" t="s">
        <v>20</v>
      </c>
      <c r="X12" s="82"/>
      <c r="Y12" s="63">
        <f t="shared" ref="Y12:Y19" si="10">VLOOKUP(W12,$AO$7:$AP$16,2)</f>
        <v>3</v>
      </c>
      <c r="Z12" s="63"/>
      <c r="AA12" s="81" t="s">
        <v>26</v>
      </c>
      <c r="AB12" s="82"/>
      <c r="AC12" s="63">
        <f t="shared" si="9"/>
        <v>3.5</v>
      </c>
      <c r="AD12" s="63"/>
      <c r="AE12" s="81" t="s">
        <v>26</v>
      </c>
      <c r="AF12" s="82"/>
      <c r="AG12" s="80">
        <f t="shared" ref="AG12:AG19" si="11">VLOOKUP(AE12,$AO$7:$AP$16,2)</f>
        <v>3.5</v>
      </c>
      <c r="AH12" s="80"/>
      <c r="AO12" s="1" t="s">
        <v>60</v>
      </c>
      <c r="AP12" s="2">
        <v>1</v>
      </c>
    </row>
    <row r="13" spans="1:42" ht="19.95" customHeight="1" thickBot="1" x14ac:dyDescent="0.3">
      <c r="A13" s="32">
        <v>12</v>
      </c>
      <c r="B13" s="38" t="s">
        <v>104</v>
      </c>
      <c r="C13" s="39" t="s">
        <v>107</v>
      </c>
      <c r="D13" s="38">
        <v>158</v>
      </c>
      <c r="E13" s="40">
        <v>6604053630553</v>
      </c>
      <c r="F13" s="41" t="s">
        <v>9</v>
      </c>
      <c r="G13" s="41" t="s">
        <v>105</v>
      </c>
      <c r="H13" s="41" t="s">
        <v>106</v>
      </c>
      <c r="I13" s="33" t="s">
        <v>12</v>
      </c>
      <c r="J13" s="49">
        <v>3.5</v>
      </c>
      <c r="K13" s="61" t="s">
        <v>27</v>
      </c>
      <c r="L13" s="61"/>
      <c r="M13" s="60">
        <f t="shared" si="6"/>
        <v>4</v>
      </c>
      <c r="N13" s="60"/>
      <c r="O13" s="61" t="s">
        <v>17</v>
      </c>
      <c r="P13" s="61"/>
      <c r="Q13" s="64">
        <f t="shared" si="7"/>
        <v>2</v>
      </c>
      <c r="R13" s="64"/>
      <c r="S13" s="61" t="s">
        <v>27</v>
      </c>
      <c r="T13" s="61"/>
      <c r="U13" s="60">
        <f t="shared" si="8"/>
        <v>4</v>
      </c>
      <c r="V13" s="60"/>
      <c r="W13" s="61" t="s">
        <v>26</v>
      </c>
      <c r="X13" s="61"/>
      <c r="Y13" s="63">
        <f t="shared" si="10"/>
        <v>3.5</v>
      </c>
      <c r="Z13" s="63"/>
      <c r="AA13" s="61" t="s">
        <v>26</v>
      </c>
      <c r="AB13" s="61"/>
      <c r="AC13" s="63">
        <f t="shared" si="9"/>
        <v>3.5</v>
      </c>
      <c r="AD13" s="63"/>
      <c r="AE13" s="61" t="s">
        <v>27</v>
      </c>
      <c r="AF13" s="61"/>
      <c r="AG13" s="60">
        <f t="shared" si="11"/>
        <v>4</v>
      </c>
      <c r="AH13" s="60"/>
      <c r="AO13" s="1" t="s">
        <v>18</v>
      </c>
      <c r="AP13" s="2">
        <v>1.5</v>
      </c>
    </row>
    <row r="14" spans="1:42" ht="19.95" customHeight="1" thickBot="1" x14ac:dyDescent="0.3">
      <c r="A14" s="53">
        <v>13</v>
      </c>
      <c r="B14" s="38" t="s">
        <v>110</v>
      </c>
      <c r="C14" s="38" t="s">
        <v>110</v>
      </c>
      <c r="D14" s="53">
        <v>199</v>
      </c>
      <c r="E14" s="55">
        <v>66040536311711</v>
      </c>
      <c r="F14" s="38" t="s">
        <v>9</v>
      </c>
      <c r="G14" s="38" t="s">
        <v>48</v>
      </c>
      <c r="H14" s="38" t="s">
        <v>112</v>
      </c>
      <c r="I14" s="38" t="s">
        <v>12</v>
      </c>
      <c r="J14" s="6">
        <v>1.62</v>
      </c>
      <c r="K14" s="61" t="s">
        <v>18</v>
      </c>
      <c r="L14" s="62"/>
      <c r="M14" s="60">
        <f t="shared" si="6"/>
        <v>1.5</v>
      </c>
      <c r="N14" s="60"/>
      <c r="O14" s="61" t="s">
        <v>60</v>
      </c>
      <c r="P14" s="61"/>
      <c r="Q14" s="64">
        <f t="shared" si="7"/>
        <v>1</v>
      </c>
      <c r="R14" s="64"/>
      <c r="S14" s="61" t="s">
        <v>61</v>
      </c>
      <c r="T14" s="62"/>
      <c r="U14" s="60">
        <f t="shared" si="8"/>
        <v>0</v>
      </c>
      <c r="V14" s="60"/>
      <c r="W14" s="61" t="s">
        <v>63</v>
      </c>
      <c r="X14" s="61"/>
      <c r="Y14" s="63">
        <f t="shared" si="10"/>
        <v>0</v>
      </c>
      <c r="Z14" s="63"/>
      <c r="AA14" s="61" t="s">
        <v>62</v>
      </c>
      <c r="AB14" s="62"/>
      <c r="AC14" s="63">
        <f t="shared" si="9"/>
        <v>0</v>
      </c>
      <c r="AD14" s="63"/>
      <c r="AE14" s="61" t="s">
        <v>27</v>
      </c>
      <c r="AF14" s="62"/>
      <c r="AG14" s="60">
        <f t="shared" si="11"/>
        <v>4</v>
      </c>
      <c r="AH14" s="60"/>
      <c r="AO14" s="1" t="s">
        <v>61</v>
      </c>
      <c r="AP14" s="2">
        <v>0</v>
      </c>
    </row>
    <row r="15" spans="1:42" ht="19.95" customHeight="1" thickBot="1" x14ac:dyDescent="0.3">
      <c r="A15" s="53">
        <v>14</v>
      </c>
      <c r="B15" s="38" t="s">
        <v>114</v>
      </c>
      <c r="C15" s="10" t="s">
        <v>114</v>
      </c>
      <c r="D15" s="53">
        <v>200</v>
      </c>
      <c r="E15" s="10" t="s">
        <v>115</v>
      </c>
      <c r="F15" s="38" t="s">
        <v>9</v>
      </c>
      <c r="G15" s="10" t="s">
        <v>116</v>
      </c>
      <c r="H15" s="38" t="s">
        <v>117</v>
      </c>
      <c r="I15" s="33" t="s">
        <v>12</v>
      </c>
      <c r="J15" s="6">
        <v>1.08</v>
      </c>
      <c r="K15" s="61" t="s">
        <v>60</v>
      </c>
      <c r="L15" s="61"/>
      <c r="M15" s="60">
        <f t="shared" si="6"/>
        <v>1</v>
      </c>
      <c r="N15" s="60"/>
      <c r="O15" s="61" t="s">
        <v>18</v>
      </c>
      <c r="P15" s="61"/>
      <c r="Q15" s="64">
        <f t="shared" si="7"/>
        <v>1.5</v>
      </c>
      <c r="R15" s="64"/>
      <c r="S15" s="61" t="s">
        <v>17</v>
      </c>
      <c r="T15" s="61"/>
      <c r="U15" s="60">
        <f t="shared" si="8"/>
        <v>2</v>
      </c>
      <c r="V15" s="60"/>
      <c r="W15" s="61" t="s">
        <v>60</v>
      </c>
      <c r="X15" s="61"/>
      <c r="Y15" s="63">
        <f t="shared" si="10"/>
        <v>1</v>
      </c>
      <c r="Z15" s="63"/>
      <c r="AA15" s="61" t="s">
        <v>60</v>
      </c>
      <c r="AB15" s="61"/>
      <c r="AC15" s="63">
        <f t="shared" si="9"/>
        <v>1</v>
      </c>
      <c r="AD15" s="63"/>
      <c r="AE15" s="61" t="s">
        <v>61</v>
      </c>
      <c r="AF15" s="61"/>
      <c r="AG15" s="60">
        <f t="shared" si="11"/>
        <v>0</v>
      </c>
      <c r="AH15" s="60"/>
      <c r="AO15" s="1" t="s">
        <v>62</v>
      </c>
      <c r="AP15" s="2">
        <v>0</v>
      </c>
    </row>
    <row r="16" spans="1:42" ht="19.95" customHeight="1" thickBot="1" x14ac:dyDescent="0.3">
      <c r="A16" s="53">
        <v>15</v>
      </c>
      <c r="B16" s="38" t="s">
        <v>124</v>
      </c>
      <c r="C16" s="10" t="s">
        <v>125</v>
      </c>
      <c r="D16" s="53">
        <v>50</v>
      </c>
      <c r="E16" s="10" t="s">
        <v>123</v>
      </c>
      <c r="F16" s="38" t="s">
        <v>23</v>
      </c>
      <c r="G16" s="10" t="s">
        <v>121</v>
      </c>
      <c r="H16" s="38" t="s">
        <v>122</v>
      </c>
      <c r="I16" s="33" t="s">
        <v>120</v>
      </c>
      <c r="J16" s="6">
        <v>1.75</v>
      </c>
      <c r="K16" s="61" t="s">
        <v>19</v>
      </c>
      <c r="L16" s="61"/>
      <c r="M16" s="60">
        <f t="shared" si="6"/>
        <v>2.5</v>
      </c>
      <c r="N16" s="60"/>
      <c r="O16" s="61" t="s">
        <v>17</v>
      </c>
      <c r="P16" s="61"/>
      <c r="Q16" s="64">
        <f t="shared" si="7"/>
        <v>2</v>
      </c>
      <c r="R16" s="64"/>
      <c r="S16" s="69" t="s">
        <v>18</v>
      </c>
      <c r="T16" s="69"/>
      <c r="U16" s="60">
        <f t="shared" si="8"/>
        <v>1.5</v>
      </c>
      <c r="V16" s="60"/>
      <c r="W16" s="61" t="s">
        <v>18</v>
      </c>
      <c r="X16" s="61"/>
      <c r="Y16" s="63">
        <f t="shared" si="10"/>
        <v>1.5</v>
      </c>
      <c r="Z16" s="63"/>
      <c r="AA16" s="61" t="s">
        <v>18</v>
      </c>
      <c r="AB16" s="62"/>
      <c r="AC16" s="63">
        <f t="shared" si="9"/>
        <v>1.5</v>
      </c>
      <c r="AD16" s="63"/>
      <c r="AE16" s="61" t="s">
        <v>18</v>
      </c>
      <c r="AF16" s="62"/>
      <c r="AG16" s="60">
        <f t="shared" si="11"/>
        <v>1.5</v>
      </c>
      <c r="AH16" s="60"/>
      <c r="AO16" s="1" t="s">
        <v>63</v>
      </c>
      <c r="AP16" s="2">
        <v>0</v>
      </c>
    </row>
    <row r="17" spans="1:38" ht="19.95" customHeight="1" x14ac:dyDescent="0.25">
      <c r="A17" s="53">
        <v>16</v>
      </c>
      <c r="B17" s="38" t="s">
        <v>126</v>
      </c>
      <c r="C17" s="10" t="s">
        <v>127</v>
      </c>
      <c r="D17" s="53">
        <v>100</v>
      </c>
      <c r="E17" s="56" t="s">
        <v>128</v>
      </c>
      <c r="F17" s="38" t="s">
        <v>23</v>
      </c>
      <c r="G17" s="38" t="s">
        <v>130</v>
      </c>
      <c r="H17" s="38" t="s">
        <v>129</v>
      </c>
      <c r="I17" s="33" t="s">
        <v>120</v>
      </c>
      <c r="J17" s="6">
        <v>1.91</v>
      </c>
      <c r="K17" s="61" t="s">
        <v>19</v>
      </c>
      <c r="L17" s="62"/>
      <c r="M17" s="60">
        <f t="shared" si="6"/>
        <v>2.5</v>
      </c>
      <c r="N17" s="60"/>
      <c r="O17" s="61" t="s">
        <v>19</v>
      </c>
      <c r="P17" s="62"/>
      <c r="Q17" s="64">
        <f t="shared" si="7"/>
        <v>2.5</v>
      </c>
      <c r="R17" s="64"/>
      <c r="S17" s="61" t="s">
        <v>18</v>
      </c>
      <c r="T17" s="62"/>
      <c r="U17" s="60">
        <f t="shared" si="8"/>
        <v>1.5</v>
      </c>
      <c r="V17" s="60"/>
      <c r="W17" s="61" t="s">
        <v>60</v>
      </c>
      <c r="X17" s="61"/>
      <c r="Y17" s="63">
        <f t="shared" si="10"/>
        <v>1</v>
      </c>
      <c r="Z17" s="63"/>
      <c r="AA17" s="61" t="s">
        <v>18</v>
      </c>
      <c r="AB17" s="62"/>
      <c r="AC17" s="63">
        <f t="shared" si="9"/>
        <v>1.5</v>
      </c>
      <c r="AD17" s="63"/>
      <c r="AE17" s="61" t="s">
        <v>19</v>
      </c>
      <c r="AF17" s="61"/>
      <c r="AG17" s="60">
        <f t="shared" si="11"/>
        <v>2.5</v>
      </c>
      <c r="AH17" s="60"/>
    </row>
    <row r="18" spans="1:38" ht="19.95" customHeight="1" x14ac:dyDescent="0.25">
      <c r="A18" s="53">
        <v>17</v>
      </c>
      <c r="B18" s="38" t="s">
        <v>131</v>
      </c>
      <c r="C18" s="10" t="s">
        <v>132</v>
      </c>
      <c r="D18" s="53">
        <v>2000</v>
      </c>
      <c r="E18" s="6">
        <v>534345224</v>
      </c>
      <c r="F18" s="38" t="s">
        <v>23</v>
      </c>
      <c r="G18" s="6" t="s">
        <v>133</v>
      </c>
      <c r="H18" s="38" t="s">
        <v>134</v>
      </c>
      <c r="I18" s="33" t="s">
        <v>120</v>
      </c>
      <c r="J18" s="37">
        <v>0</v>
      </c>
      <c r="K18" s="61" t="s">
        <v>61</v>
      </c>
      <c r="L18" s="62"/>
      <c r="M18" s="60">
        <f t="shared" si="6"/>
        <v>0</v>
      </c>
      <c r="N18" s="60"/>
      <c r="O18" s="61" t="s">
        <v>61</v>
      </c>
      <c r="P18" s="62"/>
      <c r="Q18" s="64">
        <f t="shared" si="7"/>
        <v>0</v>
      </c>
      <c r="R18" s="64"/>
      <c r="S18" s="69" t="s">
        <v>61</v>
      </c>
      <c r="T18" s="69"/>
      <c r="U18" s="60">
        <f t="shared" si="8"/>
        <v>0</v>
      </c>
      <c r="V18" s="60"/>
      <c r="W18" s="61" t="s">
        <v>61</v>
      </c>
      <c r="X18" s="62"/>
      <c r="Y18" s="63">
        <f t="shared" si="10"/>
        <v>0</v>
      </c>
      <c r="Z18" s="63"/>
      <c r="AA18" s="61" t="s">
        <v>63</v>
      </c>
      <c r="AB18" s="62"/>
      <c r="AC18" s="63">
        <f t="shared" si="9"/>
        <v>0</v>
      </c>
      <c r="AD18" s="63"/>
      <c r="AE18" s="61" t="s">
        <v>62</v>
      </c>
      <c r="AF18" s="62"/>
      <c r="AG18" s="60">
        <f t="shared" si="11"/>
        <v>0</v>
      </c>
      <c r="AH18" s="60"/>
    </row>
    <row r="19" spans="1:38" ht="19.95" customHeight="1" x14ac:dyDescent="0.25">
      <c r="K19" s="77" t="s">
        <v>20</v>
      </c>
      <c r="L19" s="77"/>
      <c r="M19" s="60">
        <f t="shared" si="6"/>
        <v>3</v>
      </c>
      <c r="N19" s="60"/>
      <c r="O19" s="78" t="s">
        <v>26</v>
      </c>
      <c r="P19" s="79"/>
      <c r="Q19" s="64">
        <f t="shared" si="7"/>
        <v>3.5</v>
      </c>
      <c r="R19" s="64"/>
      <c r="S19" s="78" t="s">
        <v>17</v>
      </c>
      <c r="T19" s="79"/>
      <c r="U19" s="60">
        <f t="shared" si="8"/>
        <v>2</v>
      </c>
      <c r="V19" s="60"/>
      <c r="W19" s="78" t="s">
        <v>26</v>
      </c>
      <c r="X19" s="79"/>
      <c r="Y19" s="63">
        <f t="shared" si="10"/>
        <v>3.5</v>
      </c>
      <c r="Z19" s="63"/>
      <c r="AA19" s="77" t="s">
        <v>19</v>
      </c>
      <c r="AB19" s="79"/>
      <c r="AC19" s="63">
        <f t="shared" si="9"/>
        <v>2.5</v>
      </c>
      <c r="AD19" s="63"/>
      <c r="AE19" s="78" t="s">
        <v>26</v>
      </c>
      <c r="AF19" s="79"/>
      <c r="AG19" s="60">
        <f t="shared" si="11"/>
        <v>3.5</v>
      </c>
      <c r="AH19" s="60"/>
    </row>
    <row r="20" spans="1:38" ht="19.95" customHeight="1" x14ac:dyDescent="0.25">
      <c r="R20" s="5"/>
    </row>
    <row r="21" spans="1:38" ht="19.95" customHeight="1" x14ac:dyDescent="0.25">
      <c r="K21" s="65" t="s">
        <v>50</v>
      </c>
      <c r="L21" s="65"/>
      <c r="M21" s="65"/>
      <c r="N21" s="65"/>
      <c r="O21" s="65" t="s">
        <v>51</v>
      </c>
      <c r="P21" s="65"/>
      <c r="Q21" s="65"/>
      <c r="R21" s="65"/>
      <c r="S21" s="65" t="s">
        <v>52</v>
      </c>
      <c r="T21" s="65"/>
      <c r="U21" s="65"/>
      <c r="V21" s="65"/>
      <c r="W21" s="65" t="s">
        <v>53</v>
      </c>
      <c r="X21" s="66"/>
      <c r="Y21" s="66"/>
      <c r="Z21" s="66"/>
      <c r="AA21" s="65" t="s">
        <v>54</v>
      </c>
      <c r="AB21" s="66"/>
      <c r="AC21" s="66"/>
      <c r="AD21" s="66"/>
      <c r="AE21" s="65" t="s">
        <v>55</v>
      </c>
      <c r="AF21" s="66"/>
      <c r="AG21" s="66"/>
      <c r="AH21" s="66"/>
      <c r="AI21" s="65" t="s">
        <v>68</v>
      </c>
      <c r="AJ21" s="65"/>
      <c r="AK21" s="65"/>
      <c r="AL21" s="65"/>
    </row>
    <row r="22" spans="1:38" ht="18.149999999999999" customHeight="1" x14ac:dyDescent="0.25">
      <c r="A22" s="30" t="s">
        <v>57</v>
      </c>
      <c r="B22" s="30" t="s">
        <v>1</v>
      </c>
      <c r="C22" s="30" t="s">
        <v>0</v>
      </c>
      <c r="D22" s="30" t="s">
        <v>7</v>
      </c>
      <c r="E22" s="30" t="s">
        <v>5</v>
      </c>
      <c r="F22" s="30" t="s">
        <v>2</v>
      </c>
      <c r="G22" s="30" t="s">
        <v>3</v>
      </c>
      <c r="H22" s="30" t="s">
        <v>4</v>
      </c>
      <c r="I22" s="31" t="s">
        <v>6</v>
      </c>
      <c r="J22" s="30" t="s">
        <v>56</v>
      </c>
      <c r="K22" s="6" t="s">
        <v>64</v>
      </c>
      <c r="L22" s="6" t="s">
        <v>65</v>
      </c>
      <c r="M22" s="6" t="s">
        <v>66</v>
      </c>
      <c r="N22" s="6" t="s">
        <v>67</v>
      </c>
      <c r="O22" s="10" t="s">
        <v>64</v>
      </c>
      <c r="P22" s="6" t="s">
        <v>65</v>
      </c>
      <c r="Q22" s="6" t="s">
        <v>66</v>
      </c>
      <c r="R22" s="6" t="s">
        <v>67</v>
      </c>
      <c r="S22" s="6" t="s">
        <v>64</v>
      </c>
      <c r="T22" s="6" t="s">
        <v>65</v>
      </c>
      <c r="U22" s="6" t="s">
        <v>66</v>
      </c>
      <c r="V22" s="6" t="s">
        <v>67</v>
      </c>
      <c r="W22" s="6" t="s">
        <v>64</v>
      </c>
      <c r="X22" s="6" t="s">
        <v>65</v>
      </c>
      <c r="Y22" s="6" t="s">
        <v>66</v>
      </c>
      <c r="Z22" s="6" t="s">
        <v>67</v>
      </c>
      <c r="AA22" s="6" t="s">
        <v>64</v>
      </c>
      <c r="AB22" s="6" t="s">
        <v>65</v>
      </c>
      <c r="AC22" s="6" t="s">
        <v>66</v>
      </c>
      <c r="AD22" s="6" t="s">
        <v>67</v>
      </c>
      <c r="AE22" s="6" t="s">
        <v>64</v>
      </c>
      <c r="AF22" s="10" t="s">
        <v>65</v>
      </c>
      <c r="AG22" s="10" t="s">
        <v>66</v>
      </c>
      <c r="AH22" s="10" t="s">
        <v>67</v>
      </c>
      <c r="AI22" s="11" t="s">
        <v>70</v>
      </c>
      <c r="AJ22" s="11" t="s">
        <v>71</v>
      </c>
      <c r="AK22" s="11" t="s">
        <v>72</v>
      </c>
      <c r="AL22" s="11" t="s">
        <v>69</v>
      </c>
    </row>
    <row r="23" spans="1:38" ht="18.149999999999999" customHeight="1" x14ac:dyDescent="0.25">
      <c r="A23" s="32">
        <v>1</v>
      </c>
      <c r="B23" s="33" t="s">
        <v>8</v>
      </c>
      <c r="C23" s="50" t="s">
        <v>8</v>
      </c>
      <c r="D23" s="35">
        <v>93</v>
      </c>
      <c r="E23" s="32">
        <v>6604053620027</v>
      </c>
      <c r="F23" s="33" t="s">
        <v>9</v>
      </c>
      <c r="G23" s="33" t="s">
        <v>10</v>
      </c>
      <c r="H23" s="33" t="s">
        <v>11</v>
      </c>
      <c r="I23" s="36" t="s">
        <v>12</v>
      </c>
      <c r="J23" s="37">
        <f t="shared" ref="J23:J40" si="12">ROUNDDOWN(AL23/AK23,2)</f>
        <v>2.83</v>
      </c>
      <c r="K23" s="6">
        <v>3</v>
      </c>
      <c r="L23" s="6">
        <f>IF(OR(K2="F",K2="I",K2="W"),0,K23)</f>
        <v>3</v>
      </c>
      <c r="M23" s="6">
        <f>IF(OR(K2="I",K2="W"),0,K23)</f>
        <v>3</v>
      </c>
      <c r="N23" s="7">
        <f>M23*M2</f>
        <v>7.5</v>
      </c>
      <c r="O23" s="6">
        <v>3</v>
      </c>
      <c r="P23" s="6">
        <f>IF(OR(O2="F",O2="I",O2="W"),0,O23)</f>
        <v>3</v>
      </c>
      <c r="Q23" s="6">
        <f>IF(OR(O2="I",O2="W"),0,O23)</f>
        <v>3</v>
      </c>
      <c r="R23" s="7">
        <f>Q23*Q2</f>
        <v>6</v>
      </c>
      <c r="S23" s="6">
        <v>3</v>
      </c>
      <c r="T23" s="6">
        <f>IF(OR(S2="F",S2="I",S2="W"),0,S23)</f>
        <v>3</v>
      </c>
      <c r="U23" s="6">
        <f>IF(OR(S2="I",S2="W"),0,O23)</f>
        <v>3</v>
      </c>
      <c r="V23" s="7">
        <f>U23*U2</f>
        <v>9</v>
      </c>
      <c r="W23" s="6">
        <v>3</v>
      </c>
      <c r="X23" s="6">
        <f>IF(OR(W2="F",W2="I",W2="W"),0,W23)</f>
        <v>3</v>
      </c>
      <c r="Y23" s="6">
        <f>IF(OR(W2="I",W2="W"),0,W23)</f>
        <v>3</v>
      </c>
      <c r="Z23" s="7">
        <f t="shared" ref="Z23" si="13">Y2*Y23</f>
        <v>9</v>
      </c>
      <c r="AA23" s="6">
        <v>3</v>
      </c>
      <c r="AB23" s="6">
        <f>IF(OR(AA2="F",AA2="I",AA2="W"),0,AA23)</f>
        <v>3</v>
      </c>
      <c r="AC23" s="6">
        <f>IF(OR(AA2="I",AA2="W"),0,AA23)</f>
        <v>3</v>
      </c>
      <c r="AD23" s="7">
        <f>AC2*AC23</f>
        <v>10.5</v>
      </c>
      <c r="AE23" s="6">
        <v>3</v>
      </c>
      <c r="AF23" s="6">
        <f>IF(OR(AE2="F",AE2="I",AE2="W"),0,AE23)</f>
        <v>3</v>
      </c>
      <c r="AG23" s="6">
        <f>IF(OR(AE2="I",AE2="W"),0,AE23)</f>
        <v>3</v>
      </c>
      <c r="AH23" s="7">
        <f t="shared" ref="AH23" si="14">AG2*AG23</f>
        <v>9</v>
      </c>
      <c r="AI23" s="6">
        <f>SUM(K23,O23,S23,W23,AA23,AE23)</f>
        <v>18</v>
      </c>
      <c r="AJ23" s="6">
        <f>SUM(L23,P23,T23,X23,AB23,AF23)</f>
        <v>18</v>
      </c>
      <c r="AK23" s="6">
        <f>SUM(M23,Q23,U23,Y23,AC23,AG23)</f>
        <v>18</v>
      </c>
      <c r="AL23" s="7">
        <f>SUM(N23,R23,V23,Z23,AD23,AH23)</f>
        <v>51</v>
      </c>
    </row>
    <row r="24" spans="1:38" ht="18.149999999999999" customHeight="1" x14ac:dyDescent="0.25">
      <c r="A24" s="32">
        <v>2</v>
      </c>
      <c r="B24" s="33" t="s">
        <v>14</v>
      </c>
      <c r="C24" s="50" t="s">
        <v>13</v>
      </c>
      <c r="D24" s="32">
        <v>137</v>
      </c>
      <c r="E24" s="32">
        <v>6604053630260</v>
      </c>
      <c r="F24" s="33" t="s">
        <v>9</v>
      </c>
      <c r="G24" s="33" t="s">
        <v>15</v>
      </c>
      <c r="H24" s="33" t="s">
        <v>16</v>
      </c>
      <c r="I24" s="36" t="s">
        <v>12</v>
      </c>
      <c r="J24" s="37">
        <f t="shared" si="12"/>
        <v>2.33</v>
      </c>
      <c r="K24" s="6">
        <v>3</v>
      </c>
      <c r="L24" s="6">
        <f t="shared" ref="L24:L25" si="15">IF(OR(K3="F",K3="I",K3="W"),0,K24)</f>
        <v>3</v>
      </c>
      <c r="M24" s="6">
        <f t="shared" ref="M24:M25" si="16">IF(OR(K3="I",K3="W"),0,K24)</f>
        <v>3</v>
      </c>
      <c r="N24" s="7">
        <f t="shared" ref="N24:N40" si="17">M24*M3</f>
        <v>6</v>
      </c>
      <c r="O24" s="6">
        <v>3</v>
      </c>
      <c r="P24" s="6">
        <f t="shared" ref="P24:P29" si="18">IF(OR(O3="F",O3="I",O3="W"),0,O24)</f>
        <v>3</v>
      </c>
      <c r="Q24" s="6">
        <f t="shared" ref="Q24:Q29" si="19">IF(OR(O3="I",O3="W"),0,O24)</f>
        <v>3</v>
      </c>
      <c r="R24" s="7">
        <f t="shared" ref="R24:R40" si="20">Q24*Q3</f>
        <v>4.5</v>
      </c>
      <c r="S24" s="6">
        <v>3</v>
      </c>
      <c r="T24" s="6">
        <f t="shared" ref="T24:T34" si="21">IF(OR(S3="F",S3="I",S3="W"),0,S24)</f>
        <v>3</v>
      </c>
      <c r="U24" s="6">
        <f t="shared" ref="U24:U34" si="22">IF(OR(S3="I",S3="W"),0,O24)</f>
        <v>3</v>
      </c>
      <c r="V24" s="7">
        <f t="shared" ref="V24:V34" si="23">U24*U3</f>
        <v>7.5</v>
      </c>
      <c r="W24" s="6">
        <v>3</v>
      </c>
      <c r="X24" s="6">
        <f t="shared" ref="X24:X34" si="24">IF(OR(W3="F",W3="I",W3="W"),0,W24)</f>
        <v>3</v>
      </c>
      <c r="Y24" s="6">
        <f t="shared" ref="Y24:Y34" si="25">IF(OR(W3="I",W3="W"),0,W24)</f>
        <v>3</v>
      </c>
      <c r="Z24" s="7">
        <f t="shared" ref="Z24:Z34" si="26">Y3*Y24</f>
        <v>6</v>
      </c>
      <c r="AA24" s="6">
        <v>3</v>
      </c>
      <c r="AB24" s="6">
        <f t="shared" ref="AB24:AB34" si="27">IF(OR(AA3="F",AA3="I",AA3="W"),0,AA24)</f>
        <v>3</v>
      </c>
      <c r="AC24" s="6">
        <f t="shared" ref="AC24:AC34" si="28">IF(OR(AA3="I",AA3="W"),0,AA24)</f>
        <v>3</v>
      </c>
      <c r="AD24" s="7">
        <f t="shared" ref="AD24:AD34" si="29">AC3*AC24</f>
        <v>9</v>
      </c>
      <c r="AE24" s="6">
        <v>3</v>
      </c>
      <c r="AF24" s="6">
        <f t="shared" ref="AF24:AF34" si="30">IF(OR(AE3="F",AE3="I",AE3="W"),0,AE24)</f>
        <v>3</v>
      </c>
      <c r="AG24" s="6">
        <f t="shared" ref="AG24:AG34" si="31">IF(OR(AE3="I",AE3="W"),0,AE24)</f>
        <v>3</v>
      </c>
      <c r="AH24" s="7">
        <f t="shared" ref="AH24:AH34" si="32">AG3*AG24</f>
        <v>9</v>
      </c>
      <c r="AI24" s="6">
        <f t="shared" ref="AI24:AI34" si="33">SUM(K24,O24,S24,W24,AA24,AE24)</f>
        <v>18</v>
      </c>
      <c r="AJ24" s="6">
        <f t="shared" ref="AJ24:AJ34" si="34">SUM(L24,P24,T24,X24,AB24,AF24)</f>
        <v>18</v>
      </c>
      <c r="AK24" s="6">
        <f t="shared" ref="AK24:AK34" si="35">SUM(M24,Q24,U24,Y24,AC24,AG24)</f>
        <v>18</v>
      </c>
      <c r="AL24" s="7">
        <f t="shared" ref="AL24:AL34" si="36">SUM(N24,R24,V24,Z24,AD24,AH24)</f>
        <v>42</v>
      </c>
    </row>
    <row r="25" spans="1:38" ht="18.149999999999999" customHeight="1" x14ac:dyDescent="0.25">
      <c r="A25" s="32">
        <v>3</v>
      </c>
      <c r="B25" s="33" t="s">
        <v>22</v>
      </c>
      <c r="C25" s="50" t="s">
        <v>21</v>
      </c>
      <c r="D25" s="32">
        <v>111</v>
      </c>
      <c r="E25" s="32">
        <v>6604053620213</v>
      </c>
      <c r="F25" s="33" t="s">
        <v>23</v>
      </c>
      <c r="G25" s="33" t="s">
        <v>24</v>
      </c>
      <c r="H25" s="33" t="s">
        <v>25</v>
      </c>
      <c r="I25" s="36" t="s">
        <v>12</v>
      </c>
      <c r="J25" s="37">
        <f t="shared" si="12"/>
        <v>3.1</v>
      </c>
      <c r="K25" s="6">
        <v>3</v>
      </c>
      <c r="L25" s="6">
        <f t="shared" si="15"/>
        <v>3</v>
      </c>
      <c r="M25" s="6">
        <f t="shared" si="16"/>
        <v>3</v>
      </c>
      <c r="N25" s="7">
        <f t="shared" si="17"/>
        <v>4.5</v>
      </c>
      <c r="O25" s="6">
        <v>3</v>
      </c>
      <c r="P25" s="8">
        <f t="shared" si="18"/>
        <v>0</v>
      </c>
      <c r="Q25" s="8">
        <f t="shared" si="19"/>
        <v>0</v>
      </c>
      <c r="R25" s="7">
        <f t="shared" si="20"/>
        <v>0</v>
      </c>
      <c r="S25" s="6">
        <v>3</v>
      </c>
      <c r="T25" s="6">
        <f t="shared" si="21"/>
        <v>3</v>
      </c>
      <c r="U25" s="6">
        <f t="shared" si="22"/>
        <v>3</v>
      </c>
      <c r="V25" s="7">
        <f t="shared" si="23"/>
        <v>10.5</v>
      </c>
      <c r="W25" s="6">
        <v>3</v>
      </c>
      <c r="X25" s="6">
        <f t="shared" si="24"/>
        <v>3</v>
      </c>
      <c r="Y25" s="6">
        <f t="shared" si="25"/>
        <v>3</v>
      </c>
      <c r="Z25" s="7">
        <f t="shared" si="26"/>
        <v>7.5</v>
      </c>
      <c r="AA25" s="6">
        <v>3</v>
      </c>
      <c r="AB25" s="6">
        <f t="shared" si="27"/>
        <v>3</v>
      </c>
      <c r="AC25" s="6">
        <f t="shared" si="28"/>
        <v>3</v>
      </c>
      <c r="AD25" s="7">
        <f t="shared" si="29"/>
        <v>12</v>
      </c>
      <c r="AE25" s="6">
        <v>3</v>
      </c>
      <c r="AF25" s="6">
        <f t="shared" si="30"/>
        <v>3</v>
      </c>
      <c r="AG25" s="6">
        <f t="shared" si="31"/>
        <v>3</v>
      </c>
      <c r="AH25" s="7">
        <f t="shared" si="32"/>
        <v>12</v>
      </c>
      <c r="AI25" s="6">
        <f t="shared" si="33"/>
        <v>18</v>
      </c>
      <c r="AJ25" s="6">
        <f t="shared" si="34"/>
        <v>15</v>
      </c>
      <c r="AK25" s="6">
        <f t="shared" si="35"/>
        <v>15</v>
      </c>
      <c r="AL25" s="7">
        <f t="shared" si="36"/>
        <v>46.5</v>
      </c>
    </row>
    <row r="26" spans="1:38" ht="18.149999999999999" customHeight="1" x14ac:dyDescent="0.25">
      <c r="A26" s="32">
        <v>4</v>
      </c>
      <c r="B26" s="33" t="s">
        <v>28</v>
      </c>
      <c r="C26" s="50" t="s">
        <v>28</v>
      </c>
      <c r="D26" s="32">
        <v>139</v>
      </c>
      <c r="E26" s="32">
        <v>6604053630286</v>
      </c>
      <c r="F26" s="33" t="s">
        <v>23</v>
      </c>
      <c r="G26" s="33" t="s">
        <v>29</v>
      </c>
      <c r="H26" s="33" t="s">
        <v>30</v>
      </c>
      <c r="I26" s="36" t="s">
        <v>12</v>
      </c>
      <c r="J26" s="37">
        <f t="shared" si="12"/>
        <v>3.58</v>
      </c>
      <c r="K26" s="6">
        <v>3</v>
      </c>
      <c r="L26" s="6">
        <f t="shared" ref="L26:L40" si="37">IF(OR(K5="F",K5="I",K5="W"),0,K26)</f>
        <v>3</v>
      </c>
      <c r="M26" s="6">
        <f t="shared" ref="M26:M40" si="38">IF(OR(K5="I",K5="W"),0,K26)</f>
        <v>3</v>
      </c>
      <c r="N26" s="7">
        <f t="shared" si="17"/>
        <v>10.5</v>
      </c>
      <c r="O26" s="6">
        <v>3</v>
      </c>
      <c r="P26" s="6">
        <f t="shared" si="18"/>
        <v>3</v>
      </c>
      <c r="Q26" s="6">
        <f t="shared" si="19"/>
        <v>3</v>
      </c>
      <c r="R26" s="7">
        <f t="shared" si="20"/>
        <v>6</v>
      </c>
      <c r="S26" s="6">
        <v>3</v>
      </c>
      <c r="T26" s="6">
        <f t="shared" si="21"/>
        <v>3</v>
      </c>
      <c r="U26" s="6">
        <f t="shared" si="22"/>
        <v>3</v>
      </c>
      <c r="V26" s="7">
        <f t="shared" si="23"/>
        <v>12</v>
      </c>
      <c r="W26" s="6">
        <v>3</v>
      </c>
      <c r="X26" s="6">
        <f t="shared" si="24"/>
        <v>3</v>
      </c>
      <c r="Y26" s="6">
        <f t="shared" si="25"/>
        <v>3</v>
      </c>
      <c r="Z26" s="7">
        <f t="shared" si="26"/>
        <v>12</v>
      </c>
      <c r="AA26" s="6">
        <v>3</v>
      </c>
      <c r="AB26" s="6">
        <f t="shared" si="27"/>
        <v>3</v>
      </c>
      <c r="AC26" s="6">
        <f t="shared" si="28"/>
        <v>3</v>
      </c>
      <c r="AD26" s="7">
        <f t="shared" si="29"/>
        <v>12</v>
      </c>
      <c r="AE26" s="6">
        <v>3</v>
      </c>
      <c r="AF26" s="6">
        <f t="shared" si="30"/>
        <v>3</v>
      </c>
      <c r="AG26" s="6">
        <f t="shared" si="31"/>
        <v>3</v>
      </c>
      <c r="AH26" s="7">
        <f t="shared" si="32"/>
        <v>12</v>
      </c>
      <c r="AI26" s="6">
        <f t="shared" si="33"/>
        <v>18</v>
      </c>
      <c r="AJ26" s="6">
        <f t="shared" si="34"/>
        <v>18</v>
      </c>
      <c r="AK26" s="6">
        <f t="shared" si="35"/>
        <v>18</v>
      </c>
      <c r="AL26" s="7">
        <f t="shared" si="36"/>
        <v>64.5</v>
      </c>
    </row>
    <row r="27" spans="1:38" ht="18.149999999999999" customHeight="1" x14ac:dyDescent="0.25">
      <c r="A27" s="32">
        <v>5</v>
      </c>
      <c r="B27" s="33" t="s">
        <v>31</v>
      </c>
      <c r="C27" s="50" t="s">
        <v>31</v>
      </c>
      <c r="D27" s="32">
        <v>82</v>
      </c>
      <c r="E27" s="32">
        <v>6604053610340</v>
      </c>
      <c r="F27" s="33" t="s">
        <v>23</v>
      </c>
      <c r="G27" s="33" t="s">
        <v>32</v>
      </c>
      <c r="H27" s="33" t="s">
        <v>33</v>
      </c>
      <c r="I27" s="36" t="s">
        <v>12</v>
      </c>
      <c r="J27" s="37">
        <f t="shared" si="12"/>
        <v>3</v>
      </c>
      <c r="K27" s="6">
        <v>3</v>
      </c>
      <c r="L27" s="6">
        <f t="shared" si="37"/>
        <v>3</v>
      </c>
      <c r="M27" s="6">
        <f t="shared" si="38"/>
        <v>3</v>
      </c>
      <c r="N27" s="7">
        <f t="shared" si="17"/>
        <v>7.5</v>
      </c>
      <c r="O27" s="6">
        <v>3</v>
      </c>
      <c r="P27" s="6">
        <f t="shared" si="18"/>
        <v>3</v>
      </c>
      <c r="Q27" s="6">
        <f t="shared" si="19"/>
        <v>3</v>
      </c>
      <c r="R27" s="7">
        <f t="shared" si="20"/>
        <v>6</v>
      </c>
      <c r="S27" s="6">
        <v>3</v>
      </c>
      <c r="T27" s="6">
        <f t="shared" si="21"/>
        <v>3</v>
      </c>
      <c r="U27" s="6">
        <f t="shared" si="22"/>
        <v>3</v>
      </c>
      <c r="V27" s="7">
        <f t="shared" si="23"/>
        <v>12</v>
      </c>
      <c r="W27" s="6">
        <v>3</v>
      </c>
      <c r="X27" s="6">
        <f t="shared" si="24"/>
        <v>3</v>
      </c>
      <c r="Y27" s="6">
        <f t="shared" si="25"/>
        <v>3</v>
      </c>
      <c r="Z27" s="7">
        <f t="shared" si="26"/>
        <v>9</v>
      </c>
      <c r="AA27" s="6">
        <v>3</v>
      </c>
      <c r="AB27" s="6">
        <f t="shared" si="27"/>
        <v>3</v>
      </c>
      <c r="AC27" s="6">
        <f t="shared" si="28"/>
        <v>3</v>
      </c>
      <c r="AD27" s="7">
        <f t="shared" si="29"/>
        <v>9</v>
      </c>
      <c r="AE27" s="6">
        <v>3</v>
      </c>
      <c r="AF27" s="6">
        <f t="shared" si="30"/>
        <v>3</v>
      </c>
      <c r="AG27" s="6">
        <f t="shared" si="31"/>
        <v>3</v>
      </c>
      <c r="AH27" s="7">
        <f t="shared" si="32"/>
        <v>10.5</v>
      </c>
      <c r="AI27" s="6">
        <f t="shared" si="33"/>
        <v>18</v>
      </c>
      <c r="AJ27" s="6">
        <f t="shared" si="34"/>
        <v>18</v>
      </c>
      <c r="AK27" s="6">
        <f t="shared" si="35"/>
        <v>18</v>
      </c>
      <c r="AL27" s="7">
        <f t="shared" si="36"/>
        <v>54</v>
      </c>
    </row>
    <row r="28" spans="1:38" ht="18.149999999999999" customHeight="1" x14ac:dyDescent="0.25">
      <c r="A28" s="32">
        <v>6</v>
      </c>
      <c r="B28" s="33" t="s">
        <v>34</v>
      </c>
      <c r="C28" s="50" t="s">
        <v>34</v>
      </c>
      <c r="D28" s="32">
        <v>101</v>
      </c>
      <c r="E28" s="32">
        <v>6604053620108</v>
      </c>
      <c r="F28" s="33" t="s">
        <v>9</v>
      </c>
      <c r="G28" s="33" t="s">
        <v>35</v>
      </c>
      <c r="H28" s="33" t="s">
        <v>36</v>
      </c>
      <c r="I28" s="36" t="s">
        <v>12</v>
      </c>
      <c r="J28" s="37">
        <f t="shared" si="12"/>
        <v>3</v>
      </c>
      <c r="K28" s="6">
        <v>3</v>
      </c>
      <c r="L28" s="6">
        <f t="shared" si="37"/>
        <v>3</v>
      </c>
      <c r="M28" s="6">
        <f t="shared" si="38"/>
        <v>3</v>
      </c>
      <c r="N28" s="7">
        <f t="shared" si="17"/>
        <v>9</v>
      </c>
      <c r="O28" s="6">
        <v>3</v>
      </c>
      <c r="P28" s="6">
        <f t="shared" si="18"/>
        <v>3</v>
      </c>
      <c r="Q28" s="6">
        <f t="shared" si="19"/>
        <v>3</v>
      </c>
      <c r="R28" s="7">
        <f t="shared" si="20"/>
        <v>6</v>
      </c>
      <c r="S28" s="6">
        <v>3</v>
      </c>
      <c r="T28" s="6">
        <f t="shared" si="21"/>
        <v>3</v>
      </c>
      <c r="U28" s="6">
        <f t="shared" si="22"/>
        <v>3</v>
      </c>
      <c r="V28" s="7">
        <f t="shared" si="23"/>
        <v>12</v>
      </c>
      <c r="W28" s="6">
        <v>3</v>
      </c>
      <c r="X28" s="6">
        <f t="shared" si="24"/>
        <v>3</v>
      </c>
      <c r="Y28" s="6">
        <f t="shared" si="25"/>
        <v>3</v>
      </c>
      <c r="Z28" s="7">
        <f t="shared" si="26"/>
        <v>9</v>
      </c>
      <c r="AA28" s="6">
        <v>3</v>
      </c>
      <c r="AB28" s="6">
        <f t="shared" si="27"/>
        <v>3</v>
      </c>
      <c r="AC28" s="6">
        <f t="shared" si="28"/>
        <v>3</v>
      </c>
      <c r="AD28" s="7">
        <f t="shared" si="29"/>
        <v>7.5</v>
      </c>
      <c r="AE28" s="6">
        <v>3</v>
      </c>
      <c r="AF28" s="6">
        <f t="shared" si="30"/>
        <v>3</v>
      </c>
      <c r="AG28" s="6">
        <f t="shared" si="31"/>
        <v>3</v>
      </c>
      <c r="AH28" s="7">
        <f t="shared" si="32"/>
        <v>10.5</v>
      </c>
      <c r="AI28" s="6">
        <f t="shared" si="33"/>
        <v>18</v>
      </c>
      <c r="AJ28" s="6">
        <f t="shared" si="34"/>
        <v>18</v>
      </c>
      <c r="AK28" s="6">
        <f t="shared" si="35"/>
        <v>18</v>
      </c>
      <c r="AL28" s="7">
        <f t="shared" si="36"/>
        <v>54</v>
      </c>
    </row>
    <row r="29" spans="1:38" ht="18.149999999999999" customHeight="1" x14ac:dyDescent="0.25">
      <c r="A29" s="32">
        <v>7</v>
      </c>
      <c r="B29" s="33" t="s">
        <v>37</v>
      </c>
      <c r="C29" s="50" t="s">
        <v>37</v>
      </c>
      <c r="D29" s="32">
        <v>119</v>
      </c>
      <c r="E29" s="32">
        <v>6604053630081</v>
      </c>
      <c r="F29" s="33" t="s">
        <v>23</v>
      </c>
      <c r="G29" s="33" t="s">
        <v>38</v>
      </c>
      <c r="H29" s="33" t="s">
        <v>39</v>
      </c>
      <c r="I29" s="36" t="s">
        <v>12</v>
      </c>
      <c r="J29" s="37">
        <f t="shared" si="12"/>
        <v>3.08</v>
      </c>
      <c r="K29" s="6">
        <v>3</v>
      </c>
      <c r="L29" s="6">
        <f t="shared" si="37"/>
        <v>3</v>
      </c>
      <c r="M29" s="6">
        <f t="shared" si="38"/>
        <v>3</v>
      </c>
      <c r="N29" s="7">
        <f t="shared" si="17"/>
        <v>7.5</v>
      </c>
      <c r="O29" s="6">
        <v>3</v>
      </c>
      <c r="P29" s="6">
        <f t="shared" si="18"/>
        <v>3</v>
      </c>
      <c r="Q29" s="6">
        <f t="shared" si="19"/>
        <v>3</v>
      </c>
      <c r="R29" s="7">
        <f t="shared" si="20"/>
        <v>4.5</v>
      </c>
      <c r="S29" s="6">
        <v>3</v>
      </c>
      <c r="T29" s="6">
        <f t="shared" si="21"/>
        <v>3</v>
      </c>
      <c r="U29" s="6">
        <f t="shared" si="22"/>
        <v>3</v>
      </c>
      <c r="V29" s="7">
        <f t="shared" si="23"/>
        <v>12</v>
      </c>
      <c r="W29" s="6">
        <v>3</v>
      </c>
      <c r="X29" s="6">
        <f t="shared" si="24"/>
        <v>3</v>
      </c>
      <c r="Y29" s="6">
        <f t="shared" si="25"/>
        <v>3</v>
      </c>
      <c r="Z29" s="7">
        <f t="shared" si="26"/>
        <v>9</v>
      </c>
      <c r="AA29" s="6">
        <v>3</v>
      </c>
      <c r="AB29" s="6">
        <f t="shared" si="27"/>
        <v>3</v>
      </c>
      <c r="AC29" s="6">
        <f t="shared" si="28"/>
        <v>3</v>
      </c>
      <c r="AD29" s="7">
        <f t="shared" si="29"/>
        <v>10.5</v>
      </c>
      <c r="AE29" s="6">
        <v>3</v>
      </c>
      <c r="AF29" s="6">
        <f t="shared" si="30"/>
        <v>3</v>
      </c>
      <c r="AG29" s="6">
        <f t="shared" si="31"/>
        <v>3</v>
      </c>
      <c r="AH29" s="7">
        <f t="shared" si="32"/>
        <v>12</v>
      </c>
      <c r="AI29" s="6">
        <f t="shared" si="33"/>
        <v>18</v>
      </c>
      <c r="AJ29" s="6">
        <f t="shared" si="34"/>
        <v>18</v>
      </c>
      <c r="AK29" s="6">
        <f t="shared" si="35"/>
        <v>18</v>
      </c>
      <c r="AL29" s="7">
        <f t="shared" si="36"/>
        <v>55.5</v>
      </c>
    </row>
    <row r="30" spans="1:38" ht="18.149999999999999" customHeight="1" x14ac:dyDescent="0.25">
      <c r="A30" s="32">
        <v>8</v>
      </c>
      <c r="B30" s="33" t="s">
        <v>40</v>
      </c>
      <c r="C30" s="50" t="s">
        <v>40</v>
      </c>
      <c r="D30" s="32">
        <v>132</v>
      </c>
      <c r="E30" s="32">
        <v>6604053630219</v>
      </c>
      <c r="F30" s="33" t="s">
        <v>23</v>
      </c>
      <c r="G30" s="33" t="s">
        <v>41</v>
      </c>
      <c r="H30" s="33" t="s">
        <v>42</v>
      </c>
      <c r="I30" s="36" t="s">
        <v>12</v>
      </c>
      <c r="J30" s="37">
        <f t="shared" si="12"/>
        <v>3.41</v>
      </c>
      <c r="K30" s="6">
        <v>3</v>
      </c>
      <c r="L30" s="6">
        <f t="shared" si="37"/>
        <v>3</v>
      </c>
      <c r="M30" s="6">
        <f t="shared" si="38"/>
        <v>3</v>
      </c>
      <c r="N30" s="7">
        <f t="shared" si="17"/>
        <v>10.5</v>
      </c>
      <c r="O30" s="6">
        <v>3</v>
      </c>
      <c r="P30" s="6">
        <f t="shared" ref="P30:P33" si="39">IF(OR(O9="F",O9="I",O9="W"),0,O30)</f>
        <v>3</v>
      </c>
      <c r="Q30" s="6">
        <f t="shared" ref="Q30:Q33" si="40">IF(OR(O9="I",O9="W"),0,O30)</f>
        <v>3</v>
      </c>
      <c r="R30" s="7">
        <f t="shared" si="20"/>
        <v>6</v>
      </c>
      <c r="S30" s="6">
        <v>3</v>
      </c>
      <c r="T30" s="6">
        <f t="shared" si="21"/>
        <v>3</v>
      </c>
      <c r="U30" s="6">
        <f t="shared" si="22"/>
        <v>3</v>
      </c>
      <c r="V30" s="7">
        <f t="shared" si="23"/>
        <v>12</v>
      </c>
      <c r="W30" s="6">
        <v>3</v>
      </c>
      <c r="X30" s="6">
        <f t="shared" si="24"/>
        <v>3</v>
      </c>
      <c r="Y30" s="6">
        <f t="shared" si="25"/>
        <v>3</v>
      </c>
      <c r="Z30" s="7">
        <f t="shared" si="26"/>
        <v>9</v>
      </c>
      <c r="AA30" s="6">
        <v>3</v>
      </c>
      <c r="AB30" s="6">
        <f t="shared" si="27"/>
        <v>3</v>
      </c>
      <c r="AC30" s="6">
        <f t="shared" si="28"/>
        <v>3</v>
      </c>
      <c r="AD30" s="7">
        <f t="shared" si="29"/>
        <v>12</v>
      </c>
      <c r="AE30" s="6">
        <v>3</v>
      </c>
      <c r="AF30" s="6">
        <f t="shared" si="30"/>
        <v>3</v>
      </c>
      <c r="AG30" s="6">
        <f t="shared" si="31"/>
        <v>3</v>
      </c>
      <c r="AH30" s="7">
        <f t="shared" si="32"/>
        <v>12</v>
      </c>
      <c r="AI30" s="6">
        <f t="shared" si="33"/>
        <v>18</v>
      </c>
      <c r="AJ30" s="6">
        <f t="shared" si="34"/>
        <v>18</v>
      </c>
      <c r="AK30" s="6">
        <f t="shared" si="35"/>
        <v>18</v>
      </c>
      <c r="AL30" s="7">
        <f t="shared" si="36"/>
        <v>61.5</v>
      </c>
    </row>
    <row r="31" spans="1:38" ht="18.149999999999999" customHeight="1" x14ac:dyDescent="0.25">
      <c r="A31" s="32">
        <v>9</v>
      </c>
      <c r="B31" s="33" t="s">
        <v>43</v>
      </c>
      <c r="C31" s="50" t="s">
        <v>43</v>
      </c>
      <c r="D31" s="32">
        <v>138</v>
      </c>
      <c r="E31" s="32">
        <v>6604053630278</v>
      </c>
      <c r="F31" s="33" t="s">
        <v>9</v>
      </c>
      <c r="G31" s="33" t="s">
        <v>44</v>
      </c>
      <c r="H31" s="33" t="s">
        <v>45</v>
      </c>
      <c r="I31" s="36" t="s">
        <v>12</v>
      </c>
      <c r="J31" s="37">
        <f t="shared" si="12"/>
        <v>3.83</v>
      </c>
      <c r="K31" s="6">
        <v>3</v>
      </c>
      <c r="L31" s="6">
        <f t="shared" si="37"/>
        <v>3</v>
      </c>
      <c r="M31" s="6">
        <f t="shared" si="38"/>
        <v>3</v>
      </c>
      <c r="N31" s="7">
        <f t="shared" si="17"/>
        <v>12</v>
      </c>
      <c r="O31" s="6">
        <v>3</v>
      </c>
      <c r="P31" s="6">
        <f t="shared" si="39"/>
        <v>3</v>
      </c>
      <c r="Q31" s="6">
        <f t="shared" si="40"/>
        <v>3</v>
      </c>
      <c r="R31" s="7">
        <f t="shared" si="20"/>
        <v>10.5</v>
      </c>
      <c r="S31" s="6">
        <v>3</v>
      </c>
      <c r="T31" s="6">
        <f t="shared" si="21"/>
        <v>3</v>
      </c>
      <c r="U31" s="6">
        <f t="shared" si="22"/>
        <v>3</v>
      </c>
      <c r="V31" s="7">
        <f t="shared" si="23"/>
        <v>12</v>
      </c>
      <c r="W31" s="6">
        <v>3</v>
      </c>
      <c r="X31" s="6">
        <f t="shared" si="24"/>
        <v>3</v>
      </c>
      <c r="Y31" s="6">
        <f t="shared" si="25"/>
        <v>3</v>
      </c>
      <c r="Z31" s="7">
        <f t="shared" si="26"/>
        <v>10.5</v>
      </c>
      <c r="AA31" s="6">
        <v>3</v>
      </c>
      <c r="AB31" s="6">
        <f t="shared" si="27"/>
        <v>3</v>
      </c>
      <c r="AC31" s="6">
        <f t="shared" si="28"/>
        <v>3</v>
      </c>
      <c r="AD31" s="7">
        <f t="shared" si="29"/>
        <v>12</v>
      </c>
      <c r="AE31" s="6">
        <v>3</v>
      </c>
      <c r="AF31" s="6">
        <f t="shared" si="30"/>
        <v>3</v>
      </c>
      <c r="AG31" s="6">
        <f t="shared" si="31"/>
        <v>3</v>
      </c>
      <c r="AH31" s="7">
        <f t="shared" si="32"/>
        <v>12</v>
      </c>
      <c r="AI31" s="6">
        <f t="shared" si="33"/>
        <v>18</v>
      </c>
      <c r="AJ31" s="6">
        <f t="shared" si="34"/>
        <v>18</v>
      </c>
      <c r="AK31" s="6">
        <f t="shared" si="35"/>
        <v>18</v>
      </c>
      <c r="AL31" s="7">
        <f t="shared" si="36"/>
        <v>69</v>
      </c>
    </row>
    <row r="32" spans="1:38" ht="18.149999999999999" customHeight="1" x14ac:dyDescent="0.25">
      <c r="A32" s="32">
        <v>10</v>
      </c>
      <c r="B32" s="33" t="s">
        <v>47</v>
      </c>
      <c r="C32" s="50" t="s">
        <v>46</v>
      </c>
      <c r="D32" s="32">
        <v>128</v>
      </c>
      <c r="E32" s="32">
        <v>6604053630171</v>
      </c>
      <c r="F32" s="33" t="s">
        <v>9</v>
      </c>
      <c r="G32" s="33" t="s">
        <v>48</v>
      </c>
      <c r="H32" s="33" t="s">
        <v>49</v>
      </c>
      <c r="I32" s="36" t="s">
        <v>12</v>
      </c>
      <c r="J32" s="37">
        <f t="shared" si="12"/>
        <v>2.5</v>
      </c>
      <c r="K32" s="6">
        <v>3</v>
      </c>
      <c r="L32" s="6">
        <f t="shared" si="37"/>
        <v>3</v>
      </c>
      <c r="M32" s="6">
        <f t="shared" si="38"/>
        <v>3</v>
      </c>
      <c r="N32" s="7">
        <f t="shared" si="17"/>
        <v>7.5</v>
      </c>
      <c r="O32" s="6">
        <v>3</v>
      </c>
      <c r="P32" s="6">
        <f t="shared" si="39"/>
        <v>3</v>
      </c>
      <c r="Q32" s="6">
        <f t="shared" si="40"/>
        <v>3</v>
      </c>
      <c r="R32" s="7">
        <f t="shared" si="20"/>
        <v>4.5</v>
      </c>
      <c r="S32" s="6">
        <v>3</v>
      </c>
      <c r="T32" s="6">
        <f t="shared" si="21"/>
        <v>3</v>
      </c>
      <c r="U32" s="6">
        <f t="shared" si="22"/>
        <v>3</v>
      </c>
      <c r="V32" s="7">
        <f t="shared" si="23"/>
        <v>7.5</v>
      </c>
      <c r="W32" s="6">
        <v>3</v>
      </c>
      <c r="X32" s="6">
        <f t="shared" si="24"/>
        <v>3</v>
      </c>
      <c r="Y32" s="6">
        <f t="shared" si="25"/>
        <v>3</v>
      </c>
      <c r="Z32" s="7">
        <f t="shared" si="26"/>
        <v>9</v>
      </c>
      <c r="AA32" s="6">
        <v>3</v>
      </c>
      <c r="AB32" s="6">
        <f t="shared" si="27"/>
        <v>3</v>
      </c>
      <c r="AC32" s="6">
        <f t="shared" si="28"/>
        <v>3</v>
      </c>
      <c r="AD32" s="7">
        <f t="shared" si="29"/>
        <v>7.5</v>
      </c>
      <c r="AE32" s="6">
        <v>3</v>
      </c>
      <c r="AF32" s="6">
        <f t="shared" si="30"/>
        <v>3</v>
      </c>
      <c r="AG32" s="6">
        <f t="shared" si="31"/>
        <v>3</v>
      </c>
      <c r="AH32" s="7">
        <f t="shared" si="32"/>
        <v>9</v>
      </c>
      <c r="AI32" s="6">
        <f t="shared" si="33"/>
        <v>18</v>
      </c>
      <c r="AJ32" s="6">
        <f t="shared" si="34"/>
        <v>18</v>
      </c>
      <c r="AK32" s="6">
        <f t="shared" si="35"/>
        <v>18</v>
      </c>
      <c r="AL32" s="7">
        <f t="shared" si="36"/>
        <v>45</v>
      </c>
    </row>
    <row r="33" spans="1:38" ht="18.149999999999999" customHeight="1" x14ac:dyDescent="0.25">
      <c r="A33" s="43">
        <v>11</v>
      </c>
      <c r="B33" s="43" t="s">
        <v>77</v>
      </c>
      <c r="C33" s="51" t="s">
        <v>77</v>
      </c>
      <c r="D33" s="43">
        <v>152</v>
      </c>
      <c r="E33" s="45">
        <v>6604053630481</v>
      </c>
      <c r="F33" s="43" t="s">
        <v>9</v>
      </c>
      <c r="G33" s="46" t="s">
        <v>78</v>
      </c>
      <c r="H33" s="46" t="s">
        <v>79</v>
      </c>
      <c r="I33" s="48" t="s">
        <v>12</v>
      </c>
      <c r="J33" s="37">
        <f t="shared" si="12"/>
        <v>3.08</v>
      </c>
      <c r="K33" s="6">
        <v>3</v>
      </c>
      <c r="L33" s="6">
        <f t="shared" si="37"/>
        <v>3</v>
      </c>
      <c r="M33" s="6">
        <f t="shared" si="38"/>
        <v>3</v>
      </c>
      <c r="N33" s="7">
        <f t="shared" si="17"/>
        <v>7.5</v>
      </c>
      <c r="O33" s="6">
        <v>3</v>
      </c>
      <c r="P33" s="6">
        <f t="shared" si="39"/>
        <v>3</v>
      </c>
      <c r="Q33" s="6">
        <f t="shared" si="40"/>
        <v>3</v>
      </c>
      <c r="R33" s="7">
        <f t="shared" si="20"/>
        <v>6</v>
      </c>
      <c r="S33" s="6">
        <v>3</v>
      </c>
      <c r="T33" s="6">
        <f t="shared" si="21"/>
        <v>3</v>
      </c>
      <c r="U33" s="6">
        <f t="shared" si="22"/>
        <v>3</v>
      </c>
      <c r="V33" s="7">
        <f t="shared" si="23"/>
        <v>12</v>
      </c>
      <c r="W33" s="6">
        <v>3</v>
      </c>
      <c r="X33" s="6">
        <f t="shared" si="24"/>
        <v>3</v>
      </c>
      <c r="Y33" s="6">
        <f t="shared" si="25"/>
        <v>3</v>
      </c>
      <c r="Z33" s="7">
        <f t="shared" si="26"/>
        <v>9</v>
      </c>
      <c r="AA33" s="6">
        <v>3</v>
      </c>
      <c r="AB33" s="6">
        <f t="shared" si="27"/>
        <v>3</v>
      </c>
      <c r="AC33" s="6">
        <f t="shared" si="28"/>
        <v>3</v>
      </c>
      <c r="AD33" s="7">
        <f t="shared" si="29"/>
        <v>10.5</v>
      </c>
      <c r="AE33" s="6">
        <v>3</v>
      </c>
      <c r="AF33" s="6">
        <f t="shared" si="30"/>
        <v>3</v>
      </c>
      <c r="AG33" s="6">
        <f t="shared" si="31"/>
        <v>3</v>
      </c>
      <c r="AH33" s="7">
        <f t="shared" si="32"/>
        <v>10.5</v>
      </c>
      <c r="AI33" s="6">
        <f t="shared" si="33"/>
        <v>18</v>
      </c>
      <c r="AJ33" s="6">
        <f t="shared" si="34"/>
        <v>18</v>
      </c>
      <c r="AK33" s="6">
        <f t="shared" si="35"/>
        <v>18</v>
      </c>
      <c r="AL33" s="7">
        <f t="shared" si="36"/>
        <v>55.5</v>
      </c>
    </row>
    <row r="34" spans="1:38" ht="18.149999999999999" customHeight="1" x14ac:dyDescent="0.25">
      <c r="A34" s="32">
        <v>12</v>
      </c>
      <c r="B34" s="38" t="s">
        <v>104</v>
      </c>
      <c r="C34" s="52" t="s">
        <v>107</v>
      </c>
      <c r="D34" s="10">
        <v>158</v>
      </c>
      <c r="E34" s="40">
        <v>6604053630553</v>
      </c>
      <c r="F34" s="41" t="s">
        <v>9</v>
      </c>
      <c r="G34" s="41" t="s">
        <v>105</v>
      </c>
      <c r="H34" s="41" t="s">
        <v>106</v>
      </c>
      <c r="I34" s="33" t="s">
        <v>12</v>
      </c>
      <c r="J34" s="37">
        <f t="shared" si="12"/>
        <v>3.5</v>
      </c>
      <c r="K34" s="6">
        <v>3</v>
      </c>
      <c r="L34" s="6">
        <f t="shared" si="37"/>
        <v>3</v>
      </c>
      <c r="M34" s="6">
        <f t="shared" si="38"/>
        <v>3</v>
      </c>
      <c r="N34" s="7">
        <f t="shared" si="17"/>
        <v>12</v>
      </c>
      <c r="O34" s="6">
        <v>3</v>
      </c>
      <c r="P34" s="6">
        <f t="shared" ref="P34:P40" si="41">IF(OR(O13="F",O13="I",O13="W"),0,O34)</f>
        <v>3</v>
      </c>
      <c r="Q34" s="6">
        <f t="shared" ref="Q34:Q40" si="42">IF(OR(O13="I",O13="W"),0,O34)</f>
        <v>3</v>
      </c>
      <c r="R34" s="7">
        <f t="shared" si="20"/>
        <v>6</v>
      </c>
      <c r="S34" s="6">
        <v>3</v>
      </c>
      <c r="T34" s="6">
        <f t="shared" si="21"/>
        <v>3</v>
      </c>
      <c r="U34" s="6">
        <f t="shared" si="22"/>
        <v>3</v>
      </c>
      <c r="V34" s="7">
        <f t="shared" si="23"/>
        <v>12</v>
      </c>
      <c r="W34" s="6">
        <v>3</v>
      </c>
      <c r="X34" s="6">
        <f t="shared" si="24"/>
        <v>3</v>
      </c>
      <c r="Y34" s="6">
        <f t="shared" si="25"/>
        <v>3</v>
      </c>
      <c r="Z34" s="7">
        <f t="shared" si="26"/>
        <v>10.5</v>
      </c>
      <c r="AA34" s="6">
        <v>3</v>
      </c>
      <c r="AB34" s="6">
        <f t="shared" si="27"/>
        <v>3</v>
      </c>
      <c r="AC34" s="6">
        <f t="shared" si="28"/>
        <v>3</v>
      </c>
      <c r="AD34" s="7">
        <f t="shared" si="29"/>
        <v>10.5</v>
      </c>
      <c r="AE34" s="6">
        <v>3</v>
      </c>
      <c r="AF34" s="6">
        <f t="shared" si="30"/>
        <v>3</v>
      </c>
      <c r="AG34" s="6">
        <f t="shared" si="31"/>
        <v>3</v>
      </c>
      <c r="AH34" s="7">
        <f t="shared" si="32"/>
        <v>12</v>
      </c>
      <c r="AI34" s="6">
        <f t="shared" si="33"/>
        <v>18</v>
      </c>
      <c r="AJ34" s="6">
        <f t="shared" si="34"/>
        <v>18</v>
      </c>
      <c r="AK34" s="6">
        <f t="shared" si="35"/>
        <v>18</v>
      </c>
      <c r="AL34" s="7">
        <f t="shared" si="36"/>
        <v>63</v>
      </c>
    </row>
    <row r="35" spans="1:38" ht="15.75" customHeight="1" x14ac:dyDescent="0.25">
      <c r="A35" s="53">
        <v>13</v>
      </c>
      <c r="B35" s="38" t="s">
        <v>110</v>
      </c>
      <c r="C35" s="38" t="s">
        <v>110</v>
      </c>
      <c r="D35" s="53">
        <v>199</v>
      </c>
      <c r="E35" s="55">
        <v>66040536311711</v>
      </c>
      <c r="F35" s="38" t="s">
        <v>9</v>
      </c>
      <c r="G35" s="38" t="s">
        <v>48</v>
      </c>
      <c r="H35" s="38" t="s">
        <v>111</v>
      </c>
      <c r="I35" s="38" t="s">
        <v>12</v>
      </c>
      <c r="J35" s="37">
        <f t="shared" si="12"/>
        <v>1.62</v>
      </c>
      <c r="K35" s="6">
        <v>3</v>
      </c>
      <c r="L35" s="6">
        <f t="shared" si="37"/>
        <v>3</v>
      </c>
      <c r="M35" s="6">
        <f t="shared" si="38"/>
        <v>3</v>
      </c>
      <c r="N35" s="7">
        <f t="shared" si="17"/>
        <v>4.5</v>
      </c>
      <c r="O35" s="6">
        <v>3</v>
      </c>
      <c r="P35" s="6">
        <f t="shared" si="41"/>
        <v>3</v>
      </c>
      <c r="Q35" s="6">
        <f t="shared" si="42"/>
        <v>3</v>
      </c>
      <c r="R35" s="7">
        <f t="shared" si="20"/>
        <v>3</v>
      </c>
      <c r="S35" s="6">
        <v>3</v>
      </c>
      <c r="T35" s="6">
        <f t="shared" ref="T35" si="43">IF(OR(S14="F",S14="I",S14="W"),0,S35)</f>
        <v>0</v>
      </c>
      <c r="U35" s="6">
        <f t="shared" ref="U35" si="44">IF(OR(S14="I",S14="W"),0,O35)</f>
        <v>3</v>
      </c>
      <c r="V35" s="7">
        <f t="shared" ref="V35" si="45">U35*U14</f>
        <v>0</v>
      </c>
      <c r="W35" s="6">
        <v>3</v>
      </c>
      <c r="X35" s="6">
        <f t="shared" ref="X35:X40" si="46">IF(OR(W14="F",W14="I",W14="W"),0,W35)</f>
        <v>0</v>
      </c>
      <c r="Y35" s="6">
        <f t="shared" ref="Y35:Y40" si="47">IF(OR(W14="I",W14="W"),0,W35)</f>
        <v>0</v>
      </c>
      <c r="Z35" s="7">
        <f t="shared" ref="Z35:Z40" si="48">Y14*Y35</f>
        <v>0</v>
      </c>
      <c r="AA35" s="6">
        <v>3</v>
      </c>
      <c r="AB35" s="6">
        <f t="shared" ref="AB35:AB40" si="49">IF(OR(AA14="F",AA14="I",AA14="W"),0,AA35)</f>
        <v>0</v>
      </c>
      <c r="AC35" s="6">
        <f t="shared" ref="AC35:AC40" si="50">IF(OR(AA14="I",AA14="W"),0,AA35)</f>
        <v>0</v>
      </c>
      <c r="AD35" s="7">
        <f t="shared" ref="AD35:AD40" si="51">AC14*AC35</f>
        <v>0</v>
      </c>
      <c r="AE35" s="6">
        <v>3</v>
      </c>
      <c r="AF35" s="6">
        <f t="shared" ref="AF35:AF40" si="52">IF(OR(AE14="F",AE14="I",AE14="W"),0,AE35)</f>
        <v>3</v>
      </c>
      <c r="AG35" s="6">
        <f t="shared" ref="AG35:AG40" si="53">IF(OR(AE14="I",AE14="W"),0,AE35)</f>
        <v>3</v>
      </c>
      <c r="AH35" s="7">
        <f t="shared" ref="AH35:AH40" si="54">AG14*AG35</f>
        <v>12</v>
      </c>
      <c r="AI35" s="6">
        <f t="shared" ref="AI35:AI40" si="55">SUM(K35,O35,S35,W35,AA35,AE35)</f>
        <v>18</v>
      </c>
      <c r="AJ35" s="6">
        <f t="shared" ref="AJ35:AJ40" si="56">SUM(L35,P35,T35,X35,AB35,AF35)</f>
        <v>9</v>
      </c>
      <c r="AK35" s="6">
        <f t="shared" ref="AK35:AK40" si="57">SUM(M35,Q35,U35,Y35,AC35,AG35)</f>
        <v>12</v>
      </c>
      <c r="AL35" s="7">
        <f t="shared" ref="AL35:AL40" si="58">SUM(N35,R35,V35,Z35,AD35,AH35)</f>
        <v>19.5</v>
      </c>
    </row>
    <row r="36" spans="1:38" ht="15.75" customHeight="1" x14ac:dyDescent="0.25">
      <c r="A36" s="53">
        <v>14</v>
      </c>
      <c r="B36" s="38" t="s">
        <v>114</v>
      </c>
      <c r="C36" s="10" t="s">
        <v>114</v>
      </c>
      <c r="D36" s="53">
        <v>200</v>
      </c>
      <c r="E36" s="10" t="s">
        <v>115</v>
      </c>
      <c r="F36" s="38" t="s">
        <v>9</v>
      </c>
      <c r="G36" s="10" t="s">
        <v>116</v>
      </c>
      <c r="H36" s="38" t="s">
        <v>117</v>
      </c>
      <c r="I36" s="33" t="s">
        <v>120</v>
      </c>
      <c r="J36" s="37">
        <f t="shared" si="12"/>
        <v>1.08</v>
      </c>
      <c r="K36" s="6">
        <v>3</v>
      </c>
      <c r="L36" s="6">
        <f t="shared" si="37"/>
        <v>3</v>
      </c>
      <c r="M36" s="6">
        <f t="shared" si="38"/>
        <v>3</v>
      </c>
      <c r="N36" s="7">
        <f t="shared" si="17"/>
        <v>3</v>
      </c>
      <c r="O36" s="6">
        <v>3</v>
      </c>
      <c r="P36" s="6">
        <f t="shared" si="41"/>
        <v>3</v>
      </c>
      <c r="Q36" s="6">
        <f t="shared" si="42"/>
        <v>3</v>
      </c>
      <c r="R36" s="7">
        <f>Q36*Q15</f>
        <v>4.5</v>
      </c>
      <c r="S36" s="6">
        <v>3</v>
      </c>
      <c r="T36" s="6">
        <f>IF(OR(S15="F",S15="I",S15="W"),0,S36)</f>
        <v>3</v>
      </c>
      <c r="U36" s="6">
        <f>IF(OR(S15="I",S15="W"),0,O36)</f>
        <v>3</v>
      </c>
      <c r="V36" s="7">
        <f>U36*U15</f>
        <v>6</v>
      </c>
      <c r="W36" s="6">
        <v>3</v>
      </c>
      <c r="X36" s="6">
        <f t="shared" si="46"/>
        <v>3</v>
      </c>
      <c r="Y36" s="6">
        <f t="shared" si="47"/>
        <v>3</v>
      </c>
      <c r="Z36" s="7">
        <f t="shared" si="48"/>
        <v>3</v>
      </c>
      <c r="AA36" s="6">
        <v>3</v>
      </c>
      <c r="AB36" s="6">
        <f t="shared" si="49"/>
        <v>3</v>
      </c>
      <c r="AC36" s="6">
        <f t="shared" si="50"/>
        <v>3</v>
      </c>
      <c r="AD36" s="7">
        <f t="shared" si="51"/>
        <v>3</v>
      </c>
      <c r="AE36" s="6">
        <v>3</v>
      </c>
      <c r="AF36" s="6">
        <f t="shared" si="52"/>
        <v>0</v>
      </c>
      <c r="AG36" s="6">
        <f t="shared" si="53"/>
        <v>3</v>
      </c>
      <c r="AH36" s="7">
        <f t="shared" si="54"/>
        <v>0</v>
      </c>
      <c r="AI36" s="6">
        <f t="shared" si="55"/>
        <v>18</v>
      </c>
      <c r="AJ36" s="6">
        <f t="shared" si="56"/>
        <v>15</v>
      </c>
      <c r="AK36" s="6">
        <f t="shared" si="57"/>
        <v>18</v>
      </c>
      <c r="AL36" s="7">
        <f t="shared" si="58"/>
        <v>19.5</v>
      </c>
    </row>
    <row r="37" spans="1:38" ht="15.75" customHeight="1" x14ac:dyDescent="0.25">
      <c r="A37" s="53">
        <v>15</v>
      </c>
      <c r="B37" s="38" t="s">
        <v>124</v>
      </c>
      <c r="C37" s="10" t="s">
        <v>125</v>
      </c>
      <c r="D37" s="53">
        <v>50</v>
      </c>
      <c r="E37" s="10" t="s">
        <v>123</v>
      </c>
      <c r="F37" s="38" t="s">
        <v>23</v>
      </c>
      <c r="G37" s="10" t="s">
        <v>121</v>
      </c>
      <c r="H37" s="38" t="s">
        <v>122</v>
      </c>
      <c r="I37" s="33" t="s">
        <v>120</v>
      </c>
      <c r="J37" s="37">
        <f t="shared" si="12"/>
        <v>1.75</v>
      </c>
      <c r="K37" s="6">
        <v>3</v>
      </c>
      <c r="L37" s="6">
        <f t="shared" si="37"/>
        <v>3</v>
      </c>
      <c r="M37" s="6">
        <f t="shared" si="38"/>
        <v>3</v>
      </c>
      <c r="N37" s="7">
        <f t="shared" si="17"/>
        <v>7.5</v>
      </c>
      <c r="O37" s="6">
        <v>3</v>
      </c>
      <c r="P37" s="6">
        <f t="shared" si="41"/>
        <v>3</v>
      </c>
      <c r="Q37" s="6">
        <f t="shared" si="42"/>
        <v>3</v>
      </c>
      <c r="R37" s="7">
        <f t="shared" si="20"/>
        <v>6</v>
      </c>
      <c r="S37" s="6">
        <v>3</v>
      </c>
      <c r="T37" s="6">
        <f t="shared" ref="T37:T40" si="59">IF(OR(S16="F",S16="I",S16="W"),0,S37)</f>
        <v>3</v>
      </c>
      <c r="U37" s="6">
        <f t="shared" ref="U37:U40" si="60">IF(OR(S16="I",S16="W"),0,O37)</f>
        <v>3</v>
      </c>
      <c r="V37" s="7">
        <f t="shared" ref="V37:V40" si="61">U37*U16</f>
        <v>4.5</v>
      </c>
      <c r="W37" s="6">
        <v>3</v>
      </c>
      <c r="X37" s="6">
        <f t="shared" si="46"/>
        <v>3</v>
      </c>
      <c r="Y37" s="6">
        <f t="shared" si="47"/>
        <v>3</v>
      </c>
      <c r="Z37" s="7">
        <f t="shared" si="48"/>
        <v>4.5</v>
      </c>
      <c r="AA37" s="6">
        <v>3</v>
      </c>
      <c r="AB37" s="6">
        <f t="shared" si="49"/>
        <v>3</v>
      </c>
      <c r="AC37" s="6">
        <f t="shared" si="50"/>
        <v>3</v>
      </c>
      <c r="AD37" s="7">
        <f t="shared" si="51"/>
        <v>4.5</v>
      </c>
      <c r="AE37" s="6">
        <v>3</v>
      </c>
      <c r="AF37" s="6">
        <f t="shared" si="52"/>
        <v>3</v>
      </c>
      <c r="AG37" s="6">
        <f t="shared" si="53"/>
        <v>3</v>
      </c>
      <c r="AH37" s="7">
        <f t="shared" si="54"/>
        <v>4.5</v>
      </c>
      <c r="AI37" s="6">
        <f t="shared" si="55"/>
        <v>18</v>
      </c>
      <c r="AJ37" s="6">
        <f t="shared" si="56"/>
        <v>18</v>
      </c>
      <c r="AK37" s="6">
        <f t="shared" si="57"/>
        <v>18</v>
      </c>
      <c r="AL37" s="7">
        <f t="shared" si="58"/>
        <v>31.5</v>
      </c>
    </row>
    <row r="38" spans="1:38" ht="15.75" customHeight="1" x14ac:dyDescent="0.25">
      <c r="A38" s="53">
        <v>16</v>
      </c>
      <c r="B38" s="38" t="s">
        <v>126</v>
      </c>
      <c r="C38" s="10" t="s">
        <v>127</v>
      </c>
      <c r="D38" s="53">
        <v>100</v>
      </c>
      <c r="E38" s="56" t="s">
        <v>128</v>
      </c>
      <c r="F38" s="38" t="s">
        <v>9</v>
      </c>
      <c r="G38" s="38" t="s">
        <v>130</v>
      </c>
      <c r="H38" s="38" t="s">
        <v>129</v>
      </c>
      <c r="I38" s="33" t="s">
        <v>120</v>
      </c>
      <c r="J38" s="37">
        <f t="shared" si="12"/>
        <v>1.91</v>
      </c>
      <c r="K38" s="6">
        <v>3</v>
      </c>
      <c r="L38" s="6">
        <f t="shared" si="37"/>
        <v>3</v>
      </c>
      <c r="M38" s="6">
        <f t="shared" si="38"/>
        <v>3</v>
      </c>
      <c r="N38" s="7">
        <f t="shared" si="17"/>
        <v>7.5</v>
      </c>
      <c r="O38" s="6">
        <v>3</v>
      </c>
      <c r="P38" s="6">
        <f t="shared" si="41"/>
        <v>3</v>
      </c>
      <c r="Q38" s="6">
        <f t="shared" si="42"/>
        <v>3</v>
      </c>
      <c r="R38" s="7">
        <f t="shared" si="20"/>
        <v>7.5</v>
      </c>
      <c r="S38" s="6">
        <v>3</v>
      </c>
      <c r="T38" s="6">
        <f t="shared" si="59"/>
        <v>3</v>
      </c>
      <c r="U38" s="6">
        <f t="shared" si="60"/>
        <v>3</v>
      </c>
      <c r="V38" s="7">
        <f t="shared" si="61"/>
        <v>4.5</v>
      </c>
      <c r="W38" s="6">
        <v>3</v>
      </c>
      <c r="X38" s="6">
        <f t="shared" si="46"/>
        <v>3</v>
      </c>
      <c r="Y38" s="6">
        <f t="shared" si="47"/>
        <v>3</v>
      </c>
      <c r="Z38" s="7">
        <f t="shared" si="48"/>
        <v>3</v>
      </c>
      <c r="AA38" s="6">
        <v>3</v>
      </c>
      <c r="AB38" s="6">
        <f t="shared" si="49"/>
        <v>3</v>
      </c>
      <c r="AC38" s="6">
        <f t="shared" si="50"/>
        <v>3</v>
      </c>
      <c r="AD38" s="7">
        <f t="shared" si="51"/>
        <v>4.5</v>
      </c>
      <c r="AE38" s="6">
        <v>3</v>
      </c>
      <c r="AF38" s="6">
        <f t="shared" si="52"/>
        <v>3</v>
      </c>
      <c r="AG38" s="6">
        <f t="shared" si="53"/>
        <v>3</v>
      </c>
      <c r="AH38" s="7">
        <f t="shared" si="54"/>
        <v>7.5</v>
      </c>
      <c r="AI38" s="6">
        <f t="shared" si="55"/>
        <v>18</v>
      </c>
      <c r="AJ38" s="6">
        <f t="shared" si="56"/>
        <v>18</v>
      </c>
      <c r="AK38" s="6">
        <f t="shared" si="57"/>
        <v>18</v>
      </c>
      <c r="AL38" s="7">
        <f t="shared" si="58"/>
        <v>34.5</v>
      </c>
    </row>
    <row r="39" spans="1:38" ht="15.75" customHeight="1" x14ac:dyDescent="0.25">
      <c r="A39" s="53">
        <v>17</v>
      </c>
      <c r="B39" s="38" t="s">
        <v>131</v>
      </c>
      <c r="C39" s="10" t="s">
        <v>132</v>
      </c>
      <c r="D39" s="53">
        <v>2000</v>
      </c>
      <c r="E39" s="6">
        <v>534345224</v>
      </c>
      <c r="F39" s="38" t="s">
        <v>23</v>
      </c>
      <c r="G39" s="6" t="s">
        <v>133</v>
      </c>
      <c r="H39" s="38" t="s">
        <v>134</v>
      </c>
      <c r="I39" s="33" t="s">
        <v>120</v>
      </c>
      <c r="J39" s="37">
        <f t="shared" si="12"/>
        <v>0</v>
      </c>
      <c r="K39" s="6">
        <v>3</v>
      </c>
      <c r="L39" s="6">
        <f t="shared" si="37"/>
        <v>0</v>
      </c>
      <c r="M39" s="6">
        <f t="shared" si="38"/>
        <v>3</v>
      </c>
      <c r="N39" s="7">
        <f t="shared" si="17"/>
        <v>0</v>
      </c>
      <c r="O39" s="6">
        <v>3</v>
      </c>
      <c r="P39" s="6">
        <f t="shared" si="41"/>
        <v>0</v>
      </c>
      <c r="Q39" s="6">
        <f t="shared" si="42"/>
        <v>3</v>
      </c>
      <c r="R39" s="7">
        <f t="shared" si="20"/>
        <v>0</v>
      </c>
      <c r="S39" s="6">
        <v>3</v>
      </c>
      <c r="T39" s="6">
        <f t="shared" si="59"/>
        <v>0</v>
      </c>
      <c r="U39" s="6">
        <f t="shared" si="60"/>
        <v>3</v>
      </c>
      <c r="V39" s="7">
        <f t="shared" si="61"/>
        <v>0</v>
      </c>
      <c r="W39" s="6">
        <v>3</v>
      </c>
      <c r="X39" s="6">
        <f t="shared" si="46"/>
        <v>0</v>
      </c>
      <c r="Y39" s="6">
        <f t="shared" si="47"/>
        <v>3</v>
      </c>
      <c r="Z39" s="7">
        <f t="shared" si="48"/>
        <v>0</v>
      </c>
      <c r="AA39" s="6">
        <v>3</v>
      </c>
      <c r="AB39" s="6">
        <f t="shared" si="49"/>
        <v>0</v>
      </c>
      <c r="AC39" s="6">
        <f t="shared" si="50"/>
        <v>0</v>
      </c>
      <c r="AD39" s="7">
        <f t="shared" si="51"/>
        <v>0</v>
      </c>
      <c r="AE39" s="6">
        <v>3</v>
      </c>
      <c r="AF39" s="6">
        <f t="shared" si="52"/>
        <v>0</v>
      </c>
      <c r="AG39" s="6">
        <f t="shared" si="53"/>
        <v>0</v>
      </c>
      <c r="AH39" s="7">
        <f t="shared" si="54"/>
        <v>0</v>
      </c>
      <c r="AI39" s="6">
        <f t="shared" si="55"/>
        <v>18</v>
      </c>
      <c r="AJ39" s="6">
        <f t="shared" si="56"/>
        <v>0</v>
      </c>
      <c r="AK39" s="6">
        <f t="shared" si="57"/>
        <v>12</v>
      </c>
      <c r="AL39" s="7">
        <f t="shared" si="58"/>
        <v>0</v>
      </c>
    </row>
    <row r="40" spans="1:38" ht="15.75" customHeight="1" x14ac:dyDescent="0.25">
      <c r="J40" s="37">
        <f t="shared" si="12"/>
        <v>3</v>
      </c>
      <c r="K40" s="6">
        <v>3</v>
      </c>
      <c r="L40" s="6">
        <f t="shared" si="37"/>
        <v>3</v>
      </c>
      <c r="M40" s="6">
        <f t="shared" si="38"/>
        <v>3</v>
      </c>
      <c r="N40" s="7">
        <f t="shared" si="17"/>
        <v>9</v>
      </c>
      <c r="O40" s="6">
        <v>3</v>
      </c>
      <c r="P40" s="6">
        <f t="shared" si="41"/>
        <v>3</v>
      </c>
      <c r="Q40" s="6">
        <f t="shared" si="42"/>
        <v>3</v>
      </c>
      <c r="R40" s="7">
        <f t="shared" si="20"/>
        <v>10.5</v>
      </c>
      <c r="S40" s="6">
        <v>3</v>
      </c>
      <c r="T40" s="6">
        <f t="shared" si="59"/>
        <v>3</v>
      </c>
      <c r="U40" s="6">
        <f t="shared" si="60"/>
        <v>3</v>
      </c>
      <c r="V40" s="7">
        <f t="shared" si="61"/>
        <v>6</v>
      </c>
      <c r="W40" s="6">
        <v>3</v>
      </c>
      <c r="X40" s="6">
        <f t="shared" si="46"/>
        <v>3</v>
      </c>
      <c r="Y40" s="6">
        <f t="shared" si="47"/>
        <v>3</v>
      </c>
      <c r="Z40" s="7">
        <f t="shared" si="48"/>
        <v>10.5</v>
      </c>
      <c r="AA40" s="6">
        <v>3</v>
      </c>
      <c r="AB40" s="6">
        <f t="shared" si="49"/>
        <v>3</v>
      </c>
      <c r="AC40" s="6">
        <f t="shared" si="50"/>
        <v>3</v>
      </c>
      <c r="AD40" s="7">
        <f t="shared" si="51"/>
        <v>7.5</v>
      </c>
      <c r="AE40" s="6">
        <v>3</v>
      </c>
      <c r="AF40" s="6">
        <f t="shared" si="52"/>
        <v>3</v>
      </c>
      <c r="AG40" s="6">
        <f t="shared" si="53"/>
        <v>3</v>
      </c>
      <c r="AH40" s="7">
        <f t="shared" si="54"/>
        <v>10.5</v>
      </c>
      <c r="AI40" s="6">
        <f t="shared" si="55"/>
        <v>18</v>
      </c>
      <c r="AJ40" s="6">
        <f t="shared" si="56"/>
        <v>18</v>
      </c>
      <c r="AK40" s="6">
        <f t="shared" si="57"/>
        <v>18</v>
      </c>
      <c r="AL40" s="7">
        <f t="shared" si="58"/>
        <v>54</v>
      </c>
    </row>
    <row r="43" spans="1:38" ht="15.75" customHeight="1" x14ac:dyDescent="0.25">
      <c r="B43" s="54" t="s">
        <v>73</v>
      </c>
      <c r="C43" s="72" t="s">
        <v>101</v>
      </c>
      <c r="D43" s="72"/>
      <c r="E43" s="72"/>
      <c r="F43" s="74" t="s">
        <v>102</v>
      </c>
      <c r="G43" s="75"/>
      <c r="H43" s="75"/>
      <c r="I43" s="76"/>
      <c r="J43" s="72" t="s">
        <v>103</v>
      </c>
      <c r="K43" s="66"/>
      <c r="L43" s="13" t="s">
        <v>56</v>
      </c>
      <c r="M43" s="14" t="s">
        <v>118</v>
      </c>
    </row>
    <row r="44" spans="1:38" ht="15.75" customHeight="1" x14ac:dyDescent="0.25">
      <c r="B44" s="13" t="s">
        <v>5</v>
      </c>
      <c r="C44" s="28" t="s">
        <v>7</v>
      </c>
      <c r="D44" s="29" t="s">
        <v>56</v>
      </c>
      <c r="E44" s="27" t="s">
        <v>100</v>
      </c>
      <c r="F44" s="65" t="s">
        <v>74</v>
      </c>
      <c r="G44" s="65"/>
      <c r="H44" s="65" t="s">
        <v>80</v>
      </c>
      <c r="I44" s="65"/>
      <c r="J44" s="65" t="s">
        <v>75</v>
      </c>
      <c r="K44" s="65"/>
      <c r="L44" s="70" t="s">
        <v>76</v>
      </c>
      <c r="M44" s="71"/>
    </row>
    <row r="45" spans="1:38" ht="15.75" customHeight="1" x14ac:dyDescent="0.25">
      <c r="B45" s="32">
        <v>6604053630171</v>
      </c>
      <c r="C45" s="15">
        <f>DGET(A22:J39,"ClassNo.",B44:B45)</f>
        <v>128</v>
      </c>
      <c r="D45" s="9">
        <f>DGET(A22:J39,"GPA",B44:B45)</f>
        <v>2.5</v>
      </c>
      <c r="E45" s="10" t="str">
        <f>IF(AND(D45&gt;=2,D45&lt;=4),"ปกติ",IF(AND(D45&gt;=1.75,D45&lt;=1.79),"โปรต่ำ",IF(AND(D45&gt;=1.8,D45&lt;=1.99),"โปรสูง",IF(AND(D45&lt;=1.49),"รีไทร์"))))</f>
        <v>ปกติ</v>
      </c>
      <c r="F45" s="73">
        <f>DMAX(A1:AP36,"GPA",J23:J36)</f>
        <v>3.83</v>
      </c>
      <c r="G45" s="73"/>
      <c r="H45" s="73">
        <f>DMIN(A1:AP36,"GPA",J23:J36)</f>
        <v>0</v>
      </c>
      <c r="I45" s="73"/>
      <c r="J45" s="83">
        <f>DAVERAGE(J22:J36,1,J23:J36)</f>
        <v>2.8528571428571428</v>
      </c>
      <c r="K45" s="83"/>
      <c r="L45" s="61">
        <f>COUNTIF(J22:J38,"&lt; 3.00")</f>
        <v>7</v>
      </c>
      <c r="M45" s="62"/>
    </row>
    <row r="46" spans="1:38" ht="15.75" customHeight="1" x14ac:dyDescent="0.25">
      <c r="B46" s="16" t="s">
        <v>119</v>
      </c>
      <c r="C46" s="16" t="s">
        <v>3</v>
      </c>
      <c r="D46" s="65" t="s">
        <v>4</v>
      </c>
      <c r="E46" s="66"/>
      <c r="F46" s="65" t="s">
        <v>6</v>
      </c>
      <c r="G46" s="66"/>
    </row>
    <row r="47" spans="1:38" ht="15.75" customHeight="1" x14ac:dyDescent="0.25">
      <c r="B47" s="6" t="str">
        <f>DGET(A22:J39,"คำนำหน้าชื่อ",B44:B45)</f>
        <v>นาย</v>
      </c>
      <c r="C47" s="6" t="str">
        <f>DGET(A22:J39,"ชื่อ",B44:B45)</f>
        <v>นราธิป</v>
      </c>
      <c r="D47" s="62" t="str">
        <f>DGET(A22:J39,"นามสกุล",B44:B45)</f>
        <v>รื่นยาน</v>
      </c>
      <c r="E47" s="62"/>
      <c r="F47" s="67" t="str">
        <f>DGET(A22:J39,"สาขา",B44:B45)</f>
        <v>SDA</v>
      </c>
      <c r="G47" s="68"/>
    </row>
    <row r="50" spans="2:12" ht="15.75" customHeight="1" x14ac:dyDescent="0.3">
      <c r="B50" s="16" t="s">
        <v>81</v>
      </c>
      <c r="C50" s="16" t="s">
        <v>88</v>
      </c>
      <c r="D50" s="16" t="s">
        <v>95</v>
      </c>
      <c r="E50" s="16" t="s">
        <v>96</v>
      </c>
      <c r="F50" s="16" t="s">
        <v>64</v>
      </c>
      <c r="G50" s="22" t="s">
        <v>65</v>
      </c>
      <c r="H50" s="16" t="s">
        <v>66</v>
      </c>
      <c r="I50" s="17" t="s">
        <v>67</v>
      </c>
      <c r="K50" s="58" t="s">
        <v>109</v>
      </c>
      <c r="L50" s="58" t="s">
        <v>108</v>
      </c>
    </row>
    <row r="51" spans="2:12" ht="15.75" customHeight="1" x14ac:dyDescent="0.3">
      <c r="B51" s="20" t="s">
        <v>82</v>
      </c>
      <c r="C51" s="21" t="str">
        <f>VLOOKUP(B51,Subject,2)</f>
        <v xml:space="preserve"> MATHEMATICS I</v>
      </c>
      <c r="D51" s="10" t="str">
        <f>DGET(A1:AH18,K1,B44:B45)</f>
        <v>C+</v>
      </c>
      <c r="E51" s="14">
        <f t="shared" ref="E51:E56" si="62">VLOOKUP(D51,Grade,2,FALSE)</f>
        <v>2.5</v>
      </c>
      <c r="F51" s="10">
        <v>3</v>
      </c>
      <c r="G51" s="13">
        <f>IF(OR(D51="F",D51="I",D51="W"),0,F51)</f>
        <v>3</v>
      </c>
      <c r="H51" s="13">
        <f>IF(OR(D51="I",D51="W"),0,F51)</f>
        <v>3</v>
      </c>
      <c r="I51" s="6">
        <f>E51*H51</f>
        <v>7.5</v>
      </c>
      <c r="K51" s="59">
        <v>4</v>
      </c>
      <c r="L51" s="59">
        <f>COUNTIF(J22:J38,K51)</f>
        <v>0</v>
      </c>
    </row>
    <row r="52" spans="2:12" ht="15.75" customHeight="1" x14ac:dyDescent="0.3">
      <c r="B52" s="20" t="s">
        <v>83</v>
      </c>
      <c r="C52" s="21" t="str">
        <f>VLOOKUP(B52,Subject,2)</f>
        <v xml:space="preserve"> PHYSICS IN DAILY LIFE</v>
      </c>
      <c r="D52" s="10" t="str">
        <f>DGET(A1:AH18,O1,B44:B45)</f>
        <v>D+</v>
      </c>
      <c r="E52" s="14">
        <f t="shared" si="62"/>
        <v>1.5</v>
      </c>
      <c r="F52" s="10">
        <v>3</v>
      </c>
      <c r="G52" s="13">
        <f t="shared" ref="G52:G56" si="63">IF(OR(D52="F",D52="I",D52="W"),0,F52)</f>
        <v>3</v>
      </c>
      <c r="H52" s="13">
        <f t="shared" ref="H52:H56" si="64">IF(OR(D52="I",D52="W"),0,F52)</f>
        <v>3</v>
      </c>
      <c r="I52" s="6">
        <f t="shared" ref="I52:I56" si="65">E52*H52</f>
        <v>4.5</v>
      </c>
      <c r="K52" s="59">
        <v>3.5</v>
      </c>
      <c r="L52" s="59">
        <f>COUNTIF(J23:J38,K52)</f>
        <v>1</v>
      </c>
    </row>
    <row r="53" spans="2:12" ht="15.75" customHeight="1" x14ac:dyDescent="0.3">
      <c r="B53" s="10" t="s">
        <v>84</v>
      </c>
      <c r="C53" s="21" t="str">
        <f>VLOOKUP(B53,Subject,2)</f>
        <v xml:space="preserve"> STAT DATA COLLEC &amp; MNGT</v>
      </c>
      <c r="D53" s="10" t="str">
        <f>DGET(A1:AH18,S1,B44:B45)</f>
        <v>C+</v>
      </c>
      <c r="E53" s="14">
        <f>VLOOKUP(D53,Grade,2,FALSE)</f>
        <v>2.5</v>
      </c>
      <c r="F53" s="10">
        <v>3</v>
      </c>
      <c r="G53" s="13">
        <f t="shared" si="63"/>
        <v>3</v>
      </c>
      <c r="H53" s="13">
        <f t="shared" si="64"/>
        <v>3</v>
      </c>
      <c r="I53" s="6">
        <f t="shared" si="65"/>
        <v>7.5</v>
      </c>
      <c r="K53" s="59">
        <v>3</v>
      </c>
      <c r="L53" s="59">
        <f>COUNTIF(J23:J38,K53)</f>
        <v>2</v>
      </c>
    </row>
    <row r="54" spans="2:12" ht="15.75" customHeight="1" x14ac:dyDescent="0.3">
      <c r="B54" s="10" t="s">
        <v>85</v>
      </c>
      <c r="C54" s="21" t="str">
        <f t="shared" ref="C54:C56" si="66">VLOOKUP(B54,Subject,2)</f>
        <v xml:space="preserve"> INTRODUCTION TO PROBABILITY</v>
      </c>
      <c r="D54" s="10" t="str">
        <f>DGET(A1:AH18,W1,B44:B45)</f>
        <v>B</v>
      </c>
      <c r="E54" s="14">
        <f t="shared" si="62"/>
        <v>3</v>
      </c>
      <c r="F54" s="10">
        <v>3</v>
      </c>
      <c r="G54" s="13">
        <f t="shared" si="63"/>
        <v>3</v>
      </c>
      <c r="H54" s="13">
        <f t="shared" si="64"/>
        <v>3</v>
      </c>
      <c r="I54" s="6">
        <f t="shared" si="65"/>
        <v>9</v>
      </c>
      <c r="K54" s="59">
        <v>2.5</v>
      </c>
      <c r="L54" s="59">
        <f>COUNTIF(J23:J39,K54)</f>
        <v>1</v>
      </c>
    </row>
    <row r="55" spans="2:12" ht="15.75" customHeight="1" x14ac:dyDescent="0.3">
      <c r="B55" s="10" t="s">
        <v>86</v>
      </c>
      <c r="C55" s="21" t="str">
        <f t="shared" si="66"/>
        <v xml:space="preserve"> ENGLISH I</v>
      </c>
      <c r="D55" s="10" t="str">
        <f>DGET(A1:AH18,AA1,B44:B45)</f>
        <v>C+</v>
      </c>
      <c r="E55" s="14">
        <f t="shared" si="62"/>
        <v>2.5</v>
      </c>
      <c r="F55" s="10">
        <v>3</v>
      </c>
      <c r="G55" s="13">
        <f t="shared" si="63"/>
        <v>3</v>
      </c>
      <c r="H55" s="13">
        <f t="shared" si="64"/>
        <v>3</v>
      </c>
      <c r="I55" s="6">
        <f t="shared" si="65"/>
        <v>7.5</v>
      </c>
      <c r="K55" s="59">
        <v>2</v>
      </c>
      <c r="L55" s="59">
        <f>COUNTIF(J26:J40,K55)</f>
        <v>0</v>
      </c>
    </row>
    <row r="56" spans="2:12" ht="15.75" customHeight="1" x14ac:dyDescent="0.3">
      <c r="B56" s="10" t="s">
        <v>87</v>
      </c>
      <c r="C56" s="21" t="str">
        <f t="shared" si="66"/>
        <v xml:space="preserve"> PSYCHOLOGY FOR HAPPY LIFE</v>
      </c>
      <c r="D56" s="10" t="str">
        <f>DGET(A1:AH18,AE1,B44:B45)</f>
        <v>B</v>
      </c>
      <c r="E56" s="14">
        <f t="shared" si="62"/>
        <v>3</v>
      </c>
      <c r="F56" s="10">
        <v>3</v>
      </c>
      <c r="G56" s="13">
        <f t="shared" si="63"/>
        <v>3</v>
      </c>
      <c r="H56" s="13">
        <f t="shared" si="64"/>
        <v>3</v>
      </c>
      <c r="I56" s="6">
        <f t="shared" si="65"/>
        <v>9</v>
      </c>
      <c r="K56" s="59" t="s">
        <v>113</v>
      </c>
      <c r="L56" s="59">
        <f>COUNTIF(J23:J38,K56)</f>
        <v>4</v>
      </c>
    </row>
    <row r="57" spans="2:12" ht="15.75" customHeight="1" x14ac:dyDescent="0.3">
      <c r="B57" s="23"/>
      <c r="C57" s="23"/>
      <c r="D57" s="17" t="s">
        <v>97</v>
      </c>
      <c r="E57" s="17"/>
      <c r="F57" s="24">
        <f>SUM(F51:F56)</f>
        <v>18</v>
      </c>
      <c r="G57" s="24">
        <f t="shared" ref="G57:H57" si="67">SUM(G51:G56)</f>
        <v>18</v>
      </c>
      <c r="H57" s="24">
        <f t="shared" si="67"/>
        <v>18</v>
      </c>
      <c r="I57" s="24">
        <f>SUM(I51:I56)</f>
        <v>45</v>
      </c>
      <c r="K57" s="59">
        <v>1.5</v>
      </c>
      <c r="L57" s="59">
        <f>COUNTIF(J23:J38,K57)</f>
        <v>0</v>
      </c>
    </row>
    <row r="58" spans="2:12" ht="15.75" customHeight="1" x14ac:dyDescent="0.3">
      <c r="B58" s="23"/>
      <c r="C58" s="23"/>
      <c r="D58" s="23"/>
      <c r="E58" s="23"/>
      <c r="F58" s="23"/>
      <c r="G58" s="23"/>
      <c r="H58" s="10" t="s">
        <v>56</v>
      </c>
      <c r="I58" s="25">
        <f>TRUNC(I57/H57,2)</f>
        <v>2.5</v>
      </c>
      <c r="K58" s="59">
        <v>1</v>
      </c>
      <c r="L58" s="59">
        <f>COUNTIF(J23:J38,K58)</f>
        <v>0</v>
      </c>
    </row>
    <row r="59" spans="2:12" ht="15.75" customHeight="1" x14ac:dyDescent="0.3">
      <c r="B59" s="26"/>
      <c r="C59" s="26"/>
      <c r="D59" s="57" t="s">
        <v>98</v>
      </c>
      <c r="E59" s="57"/>
      <c r="F59" s="24">
        <f>F57</f>
        <v>18</v>
      </c>
      <c r="G59" s="24">
        <f>G57</f>
        <v>18</v>
      </c>
      <c r="H59" s="24">
        <f>H57</f>
        <v>18</v>
      </c>
      <c r="I59" s="24">
        <f>I57</f>
        <v>45</v>
      </c>
      <c r="K59" s="59">
        <v>0</v>
      </c>
      <c r="L59" s="59">
        <f>COUNTIF(J23:J39,K59)</f>
        <v>1</v>
      </c>
    </row>
    <row r="60" spans="2:12" ht="15.75" customHeight="1" x14ac:dyDescent="0.25">
      <c r="B60" s="23"/>
      <c r="C60" s="23"/>
      <c r="D60" s="23"/>
      <c r="E60" s="23"/>
      <c r="F60" s="23"/>
      <c r="G60" s="23"/>
      <c r="H60" s="10" t="s">
        <v>99</v>
      </c>
      <c r="I60" s="25">
        <f>I58</f>
        <v>2.5</v>
      </c>
    </row>
  </sheetData>
  <mergeCells count="244"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K14:L14"/>
    <mergeCell ref="AA14:AB14"/>
    <mergeCell ref="K13:L13"/>
    <mergeCell ref="M13:N13"/>
    <mergeCell ref="O13:P13"/>
    <mergeCell ref="S13:T13"/>
    <mergeCell ref="W13:X13"/>
    <mergeCell ref="AA13:AB13"/>
    <mergeCell ref="O12:P12"/>
    <mergeCell ref="S12:T12"/>
    <mergeCell ref="AA12:AB12"/>
    <mergeCell ref="M14:N14"/>
    <mergeCell ref="Q14:R14"/>
    <mergeCell ref="U14:V14"/>
    <mergeCell ref="M12:N12"/>
    <mergeCell ref="Q12:R12"/>
    <mergeCell ref="Q13:R13"/>
    <mergeCell ref="U13:V13"/>
    <mergeCell ref="O14:P14"/>
    <mergeCell ref="S14:T14"/>
    <mergeCell ref="U12:V12"/>
    <mergeCell ref="M2:N2"/>
    <mergeCell ref="O1:R1"/>
    <mergeCell ref="M3:N3"/>
    <mergeCell ref="M4:N4"/>
    <mergeCell ref="M5:N5"/>
    <mergeCell ref="M6:N6"/>
    <mergeCell ref="M7:N7"/>
    <mergeCell ref="M8:N8"/>
    <mergeCell ref="K1:N1"/>
    <mergeCell ref="K2:L2"/>
    <mergeCell ref="K3:L3"/>
    <mergeCell ref="K4:L4"/>
    <mergeCell ref="K5:L5"/>
    <mergeCell ref="K6:L6"/>
    <mergeCell ref="K7:L7"/>
    <mergeCell ref="K8:L8"/>
    <mergeCell ref="O2:P2"/>
    <mergeCell ref="O3:P3"/>
    <mergeCell ref="O4:P4"/>
    <mergeCell ref="O5:P5"/>
    <mergeCell ref="O6:P6"/>
    <mergeCell ref="O7:P7"/>
    <mergeCell ref="O8:P8"/>
    <mergeCell ref="Q7:R7"/>
    <mergeCell ref="O9:P9"/>
    <mergeCell ref="O10:P10"/>
    <mergeCell ref="U2:V2"/>
    <mergeCell ref="U3:V3"/>
    <mergeCell ref="U4:V4"/>
    <mergeCell ref="U5:V5"/>
    <mergeCell ref="Q8:R8"/>
    <mergeCell ref="Q9:R9"/>
    <mergeCell ref="Q10:R10"/>
    <mergeCell ref="S1:V1"/>
    <mergeCell ref="S2:T2"/>
    <mergeCell ref="S3:T3"/>
    <mergeCell ref="S4:T4"/>
    <mergeCell ref="S5:T5"/>
    <mergeCell ref="S6:T6"/>
    <mergeCell ref="Q2:R2"/>
    <mergeCell ref="Q3:R3"/>
    <mergeCell ref="Q4:R4"/>
    <mergeCell ref="Q5:R5"/>
    <mergeCell ref="Q6:R6"/>
    <mergeCell ref="Y2:Z2"/>
    <mergeCell ref="Y3:Z3"/>
    <mergeCell ref="Y4:Z4"/>
    <mergeCell ref="Y5:Z5"/>
    <mergeCell ref="Y6:Z6"/>
    <mergeCell ref="K21:N21"/>
    <mergeCell ref="O21:R21"/>
    <mergeCell ref="S21:V21"/>
    <mergeCell ref="W1:Z1"/>
    <mergeCell ref="W2:X2"/>
    <mergeCell ref="W3:X3"/>
    <mergeCell ref="W4:X4"/>
    <mergeCell ref="W5:X5"/>
    <mergeCell ref="W6:X6"/>
    <mergeCell ref="U6:V6"/>
    <mergeCell ref="U7:V7"/>
    <mergeCell ref="U8:V8"/>
    <mergeCell ref="U9:V9"/>
    <mergeCell ref="U10:V10"/>
    <mergeCell ref="U11:V11"/>
    <mergeCell ref="S7:T7"/>
    <mergeCell ref="S8:T8"/>
    <mergeCell ref="S9:T9"/>
    <mergeCell ref="S10:T10"/>
    <mergeCell ref="Y7:Z7"/>
    <mergeCell ref="Y8:Z8"/>
    <mergeCell ref="Y9:Z9"/>
    <mergeCell ref="Y10:Z10"/>
    <mergeCell ref="Y11:Z11"/>
    <mergeCell ref="W21:Z21"/>
    <mergeCell ref="W7:X7"/>
    <mergeCell ref="W8:X8"/>
    <mergeCell ref="W9:X9"/>
    <mergeCell ref="W10:X10"/>
    <mergeCell ref="W11:X11"/>
    <mergeCell ref="W12:X12"/>
    <mergeCell ref="Y13:Z13"/>
    <mergeCell ref="Y12:Z12"/>
    <mergeCell ref="Y14:Z14"/>
    <mergeCell ref="W14:X14"/>
    <mergeCell ref="AC6:AD6"/>
    <mergeCell ref="AA2:AB2"/>
    <mergeCell ref="AA3:AB3"/>
    <mergeCell ref="AA4:AB4"/>
    <mergeCell ref="AA5:AB5"/>
    <mergeCell ref="AA6:AB6"/>
    <mergeCell ref="AC7:AD7"/>
    <mergeCell ref="AC8:AD8"/>
    <mergeCell ref="AC9:AD9"/>
    <mergeCell ref="AE1:AH1"/>
    <mergeCell ref="AE2:AF2"/>
    <mergeCell ref="AE3:AF3"/>
    <mergeCell ref="AE4:AF4"/>
    <mergeCell ref="AE5:AF5"/>
    <mergeCell ref="AA1:AD1"/>
    <mergeCell ref="AG2:AH2"/>
    <mergeCell ref="AG3:AH3"/>
    <mergeCell ref="AG4:AH4"/>
    <mergeCell ref="AG5:AH5"/>
    <mergeCell ref="AC2:AD2"/>
    <mergeCell ref="AC3:AD3"/>
    <mergeCell ref="AC4:AD4"/>
    <mergeCell ref="AC5:AD5"/>
    <mergeCell ref="AG6:AH6"/>
    <mergeCell ref="AG7:AH7"/>
    <mergeCell ref="AE6:AF6"/>
    <mergeCell ref="AE7:AF7"/>
    <mergeCell ref="AE8:AF8"/>
    <mergeCell ref="F44:G44"/>
    <mergeCell ref="F45:G45"/>
    <mergeCell ref="S11:T11"/>
    <mergeCell ref="M9:N9"/>
    <mergeCell ref="M10:N10"/>
    <mergeCell ref="M11:N11"/>
    <mergeCell ref="O11:P11"/>
    <mergeCell ref="K9:L9"/>
    <mergeCell ref="K10:L10"/>
    <mergeCell ref="K11:L11"/>
    <mergeCell ref="K12:L12"/>
    <mergeCell ref="AA7:AB7"/>
    <mergeCell ref="AA8:AB8"/>
    <mergeCell ref="AA9:AB9"/>
    <mergeCell ref="AA10:AB10"/>
    <mergeCell ref="AA11:AB11"/>
    <mergeCell ref="J44:K44"/>
    <mergeCell ref="J45:K45"/>
    <mergeCell ref="Q11:R11"/>
    <mergeCell ref="AI21:AL21"/>
    <mergeCell ref="AG8:AH8"/>
    <mergeCell ref="AG9:AH9"/>
    <mergeCell ref="AG10:AH10"/>
    <mergeCell ref="AG11:AH11"/>
    <mergeCell ref="AA21:AD21"/>
    <mergeCell ref="AE21:AH21"/>
    <mergeCell ref="AE9:AF9"/>
    <mergeCell ref="AE10:AF10"/>
    <mergeCell ref="AE11:AF11"/>
    <mergeCell ref="AC10:AD10"/>
    <mergeCell ref="AC11:AD11"/>
    <mergeCell ref="AG12:AH12"/>
    <mergeCell ref="AE13:AF13"/>
    <mergeCell ref="AC13:AD13"/>
    <mergeCell ref="AG13:AH13"/>
    <mergeCell ref="AC12:AD12"/>
    <mergeCell ref="AE14:AF14"/>
    <mergeCell ref="AC14:AD14"/>
    <mergeCell ref="AG14:AH14"/>
    <mergeCell ref="AE12:AF12"/>
    <mergeCell ref="AC15:AD15"/>
    <mergeCell ref="AG15:AH15"/>
    <mergeCell ref="AE15:AF15"/>
    <mergeCell ref="K15:L15"/>
    <mergeCell ref="M15:N15"/>
    <mergeCell ref="O15:P15"/>
    <mergeCell ref="S15:T15"/>
    <mergeCell ref="W15:X15"/>
    <mergeCell ref="AA15:AB15"/>
    <mergeCell ref="Q15:R15"/>
    <mergeCell ref="U15:V15"/>
    <mergeCell ref="Y15:Z15"/>
    <mergeCell ref="D46:E46"/>
    <mergeCell ref="D47:E47"/>
    <mergeCell ref="F46:G46"/>
    <mergeCell ref="F47:G47"/>
    <mergeCell ref="K16:L16"/>
    <mergeCell ref="M16:N16"/>
    <mergeCell ref="O16:P16"/>
    <mergeCell ref="Q16:R16"/>
    <mergeCell ref="S16:T16"/>
    <mergeCell ref="K18:L18"/>
    <mergeCell ref="M18:N18"/>
    <mergeCell ref="O18:P18"/>
    <mergeCell ref="Q18:R18"/>
    <mergeCell ref="S18:T18"/>
    <mergeCell ref="L44:M44"/>
    <mergeCell ref="C43:E43"/>
    <mergeCell ref="H45:I45"/>
    <mergeCell ref="H44:I44"/>
    <mergeCell ref="F43:I43"/>
    <mergeCell ref="J43:K43"/>
    <mergeCell ref="L45:M45"/>
    <mergeCell ref="K19:L19"/>
    <mergeCell ref="M19:N19"/>
    <mergeCell ref="O19:P19"/>
    <mergeCell ref="K17:L17"/>
    <mergeCell ref="M17:N17"/>
    <mergeCell ref="O17:P17"/>
    <mergeCell ref="S17:T17"/>
    <mergeCell ref="W17:X17"/>
    <mergeCell ref="Q17:R17"/>
    <mergeCell ref="U17:V17"/>
    <mergeCell ref="Y17:Z17"/>
    <mergeCell ref="AA17:AB17"/>
    <mergeCell ref="U18:V18"/>
    <mergeCell ref="W18:X18"/>
    <mergeCell ref="AA18:AB18"/>
    <mergeCell ref="AE18:AF18"/>
    <mergeCell ref="AG18:AH18"/>
    <mergeCell ref="AC18:AD18"/>
    <mergeCell ref="Y18:Z18"/>
    <mergeCell ref="U16:V16"/>
    <mergeCell ref="W16:X16"/>
    <mergeCell ref="Y16:Z16"/>
    <mergeCell ref="AA16:AB16"/>
    <mergeCell ref="AC16:AD16"/>
    <mergeCell ref="AE16:AF16"/>
    <mergeCell ref="AG16:AH16"/>
    <mergeCell ref="AC17:AD17"/>
    <mergeCell ref="AE17:AF17"/>
    <mergeCell ref="AG17:AH17"/>
  </mergeCells>
  <hyperlinks>
    <hyperlink ref="C12" r:id="rId1" xr:uid="{0157EA0B-2F2B-464A-B853-591D64AB3A10}"/>
    <hyperlink ref="C33" r:id="rId2" xr:uid="{EB92454D-C13E-483A-A1D8-6188E6EAF10D}"/>
    <hyperlink ref="C34" r:id="rId3" xr:uid="{A6EEF775-8527-45B6-B116-FD5006EFEBF8}"/>
    <hyperlink ref="C13" r:id="rId4" xr:uid="{1FA7AECB-C2AA-47FF-BF5A-FE7F23CC815A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D113-9749-4FDC-946F-4B611D33BCE4}">
  <dimension ref="B4:C10"/>
  <sheetViews>
    <sheetView workbookViewId="0">
      <selection activeCell="C5" sqref="C5"/>
    </sheetView>
  </sheetViews>
  <sheetFormatPr defaultRowHeight="13.2" x14ac:dyDescent="0.25"/>
  <cols>
    <col min="2" max="2" width="10.6640625" bestFit="1" customWidth="1"/>
    <col min="3" max="3" width="34.6640625" customWidth="1"/>
  </cols>
  <sheetData>
    <row r="4" spans="2:3" x14ac:dyDescent="0.25">
      <c r="B4" s="10" t="s">
        <v>81</v>
      </c>
      <c r="C4" s="10" t="s">
        <v>88</v>
      </c>
    </row>
    <row r="5" spans="2:3" ht="23.4" x14ac:dyDescent="0.6">
      <c r="B5" s="18" t="s">
        <v>82</v>
      </c>
      <c r="C5" s="19" t="s">
        <v>89</v>
      </c>
    </row>
    <row r="6" spans="2:3" ht="23.4" x14ac:dyDescent="0.6">
      <c r="B6" s="18" t="s">
        <v>83</v>
      </c>
      <c r="C6" s="19" t="s">
        <v>90</v>
      </c>
    </row>
    <row r="7" spans="2:3" ht="23.4" x14ac:dyDescent="0.6">
      <c r="B7" s="18" t="s">
        <v>84</v>
      </c>
      <c r="C7" s="19" t="s">
        <v>91</v>
      </c>
    </row>
    <row r="8" spans="2:3" ht="23.4" x14ac:dyDescent="0.6">
      <c r="B8" s="18" t="s">
        <v>85</v>
      </c>
      <c r="C8" s="19" t="s">
        <v>92</v>
      </c>
    </row>
    <row r="9" spans="2:3" ht="23.4" x14ac:dyDescent="0.6">
      <c r="B9" s="18" t="s">
        <v>86</v>
      </c>
      <c r="C9" s="19" t="s">
        <v>93</v>
      </c>
    </row>
    <row r="10" spans="2:3" ht="23.4" x14ac:dyDescent="0.6">
      <c r="B10" s="18" t="s">
        <v>87</v>
      </c>
      <c r="C10" s="19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6A6B-E412-4217-8776-AE02F87C097F}">
  <dimension ref="B3:C14"/>
  <sheetViews>
    <sheetView workbookViewId="0">
      <selection activeCell="B4" sqref="B4:C14"/>
    </sheetView>
  </sheetViews>
  <sheetFormatPr defaultRowHeight="13.2" x14ac:dyDescent="0.25"/>
  <sheetData>
    <row r="3" spans="2:3" ht="13.8" thickBot="1" x14ac:dyDescent="0.3"/>
    <row r="4" spans="2:3" ht="30.6" thickBot="1" x14ac:dyDescent="0.3">
      <c r="B4" s="3" t="s">
        <v>58</v>
      </c>
      <c r="C4" s="4" t="s">
        <v>59</v>
      </c>
    </row>
    <row r="5" spans="2:3" ht="14.4" thickBot="1" x14ac:dyDescent="0.3">
      <c r="B5" s="1" t="s">
        <v>27</v>
      </c>
      <c r="C5" s="2">
        <v>4</v>
      </c>
    </row>
    <row r="6" spans="2:3" ht="14.4" thickBot="1" x14ac:dyDescent="0.3">
      <c r="B6" s="1" t="s">
        <v>20</v>
      </c>
      <c r="C6" s="2">
        <v>3</v>
      </c>
    </row>
    <row r="7" spans="2:3" ht="14.4" thickBot="1" x14ac:dyDescent="0.3">
      <c r="B7" s="1" t="s">
        <v>26</v>
      </c>
      <c r="C7" s="2">
        <v>3.5</v>
      </c>
    </row>
    <row r="8" spans="2:3" ht="14.4" thickBot="1" x14ac:dyDescent="0.3">
      <c r="B8" s="1" t="s">
        <v>17</v>
      </c>
      <c r="C8" s="2">
        <v>2</v>
      </c>
    </row>
    <row r="9" spans="2:3" ht="14.4" thickBot="1" x14ac:dyDescent="0.3">
      <c r="B9" s="1" t="s">
        <v>19</v>
      </c>
      <c r="C9" s="2">
        <v>2.5</v>
      </c>
    </row>
    <row r="10" spans="2:3" ht="14.4" thickBot="1" x14ac:dyDescent="0.3">
      <c r="B10" s="1" t="s">
        <v>60</v>
      </c>
      <c r="C10" s="2">
        <v>1</v>
      </c>
    </row>
    <row r="11" spans="2:3" ht="14.4" thickBot="1" x14ac:dyDescent="0.3">
      <c r="B11" s="1" t="s">
        <v>18</v>
      </c>
      <c r="C11" s="2">
        <v>1.5</v>
      </c>
    </row>
    <row r="12" spans="2:3" ht="14.4" thickBot="1" x14ac:dyDescent="0.3">
      <c r="B12" s="1" t="s">
        <v>61</v>
      </c>
      <c r="C12" s="2">
        <v>0</v>
      </c>
    </row>
    <row r="13" spans="2:3" ht="14.4" thickBot="1" x14ac:dyDescent="0.3">
      <c r="B13" s="1" t="s">
        <v>62</v>
      </c>
      <c r="C13" s="2">
        <v>0</v>
      </c>
    </row>
    <row r="14" spans="2:3" ht="14.4" thickBot="1" x14ac:dyDescent="0.3">
      <c r="B14" s="1" t="s">
        <v>63</v>
      </c>
      <c r="C1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ปี1 เทอม1</vt:lpstr>
      <vt:lpstr>Key เทอม1</vt:lpstr>
      <vt:lpstr>ปี1 เทอม2</vt:lpstr>
      <vt:lpstr>Grade</vt:lpstr>
      <vt:lpstr>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Narathip Ruenyan</dc:creator>
  <cp:lastModifiedBy>Narathip Ruenyan</cp:lastModifiedBy>
  <dcterms:created xsi:type="dcterms:W3CDTF">2024-02-12T18:17:00Z</dcterms:created>
  <dcterms:modified xsi:type="dcterms:W3CDTF">2025-12-17T01:12:27Z</dcterms:modified>
</cp:coreProperties>
</file>